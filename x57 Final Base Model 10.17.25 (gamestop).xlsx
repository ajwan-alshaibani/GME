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alshaib2_msu_edu/Documents/"/>
    </mc:Choice>
  </mc:AlternateContent>
  <xr:revisionPtr revIDLastSave="0" documentId="8_{61DDB878-D430-7C49-939E-A60DD1D31AAA}" xr6:coauthVersionLast="47" xr6:coauthVersionMax="47" xr10:uidLastSave="{00000000-0000-0000-0000-000000000000}"/>
  <bookViews>
    <workbookView xWindow="1720" yWindow="3700" windowWidth="31100" windowHeight="15760" xr2:uid="{105444F8-9753-437C-BC45-8BF1EA9D358F}"/>
  </bookViews>
  <sheets>
    <sheet name="Income Statement" sheetId="2" r:id="rId1"/>
    <sheet name="Football Field" sheetId="12" r:id="rId2"/>
    <sheet name="Revenue Build" sheetId="3" r:id="rId3"/>
    <sheet name="Cash Flow Statement" sheetId="4" r:id="rId4"/>
    <sheet name="Balance Sheet" sheetId="5" r:id="rId5"/>
    <sheet name="Comps Financials" sheetId="10" r:id="rId6"/>
    <sheet name=" Comps Valuation" sheetId="11" r:id="rId7"/>
    <sheet name="3-Year Price Target Calculation" sheetId="13" r:id="rId8"/>
  </sheets>
  <definedNames>
    <definedName name="acquisition">#REF!</definedName>
    <definedName name="circ">#REF!</definedName>
    <definedName name="circ2">#REF!</definedName>
    <definedName name="_xlnm.Print_Area" localSheetId="6">' Comps Valuation'!$B$2:$N$40</definedName>
    <definedName name="_xlnm.Print_Area" localSheetId="7">'3-Year Price Target Calculation'!$B$2:$J$24</definedName>
    <definedName name="_xlnm.Print_Area" localSheetId="4">'Balance Sheet'!$B$2:$I$52</definedName>
    <definedName name="_xlnm.Print_Area" localSheetId="3">'Cash Flow Statement'!$B$2:$J$36</definedName>
    <definedName name="_xlnm.Print_Area" localSheetId="5">'Comps Financials'!$B$2:$Q$26</definedName>
    <definedName name="_xlnm.Print_Area" localSheetId="1">'Football Field'!$B$2:$N$40</definedName>
    <definedName name="_xlnm.Print_Area" localSheetId="0">'Income Statement'!$C$2:$M$58,'Income Statement'!$C$60:$M$77,'Income Statement'!$C$79:$M$98,'Income Statement'!$C$100:$M$117,'Income Statement'!$O$4:$U$15</definedName>
    <definedName name="_xlnm.Print_Area" localSheetId="2">'Revenue Build'!$B$2:$L$27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2" l="1"/>
  <c r="K105" i="2" l="1"/>
  <c r="L105" i="2"/>
  <c r="J105" i="2"/>
  <c r="K13" i="3"/>
  <c r="K16" i="3"/>
  <c r="J16" i="3"/>
  <c r="J13" i="3"/>
  <c r="J10" i="3"/>
  <c r="J19" i="3"/>
  <c r="J20" i="3" s="1"/>
  <c r="K74" i="2"/>
  <c r="L74" i="2"/>
  <c r="J74" i="2"/>
  <c r="E30" i="2"/>
  <c r="I10" i="3"/>
  <c r="I19" i="3"/>
  <c r="I26" i="3" s="1"/>
  <c r="H19" i="3"/>
  <c r="E14" i="2"/>
  <c r="E15" i="2"/>
  <c r="E16" i="2" s="1"/>
  <c r="B3" i="12" a="1"/>
  <c r="B3" i="12" s="1"/>
  <c r="Q19" i="2"/>
  <c r="P9" i="2"/>
  <c r="E19" i="3"/>
  <c r="F19" i="3"/>
  <c r="G19" i="3"/>
  <c r="D19" i="3"/>
  <c r="P19" i="2"/>
  <c r="E11" i="3"/>
  <c r="F11" i="3"/>
  <c r="G11" i="3"/>
  <c r="H11" i="3"/>
  <c r="J47" i="2"/>
  <c r="K47" i="2"/>
  <c r="L47" i="2" s="1"/>
  <c r="D13" i="11"/>
  <c r="D14" i="11"/>
  <c r="D15" i="11"/>
  <c r="D16" i="11"/>
  <c r="D17" i="11"/>
  <c r="D18" i="11"/>
  <c r="D19" i="11"/>
  <c r="D10" i="11"/>
  <c r="C14" i="11"/>
  <c r="C15" i="11"/>
  <c r="C16" i="11"/>
  <c r="C17" i="11"/>
  <c r="C18" i="11"/>
  <c r="C19" i="11"/>
  <c r="C13" i="11"/>
  <c r="H23" i="10"/>
  <c r="F70" i="2"/>
  <c r="F85" i="2" s="1"/>
  <c r="E51" i="5"/>
  <c r="F51" i="5"/>
  <c r="G51" i="5"/>
  <c r="H51" i="5"/>
  <c r="D51" i="5"/>
  <c r="D50" i="5"/>
  <c r="E50" i="5"/>
  <c r="E35" i="5"/>
  <c r="F35" i="5"/>
  <c r="G35" i="5"/>
  <c r="H35" i="5"/>
  <c r="D35" i="5"/>
  <c r="D42" i="5" s="1"/>
  <c r="D25" i="5"/>
  <c r="E24" i="4"/>
  <c r="D24" i="4"/>
  <c r="F24" i="4"/>
  <c r="G24" i="4"/>
  <c r="H24" i="4"/>
  <c r="E18" i="4"/>
  <c r="F18" i="4"/>
  <c r="G18" i="4"/>
  <c r="H18" i="4"/>
  <c r="D18" i="4"/>
  <c r="D12" i="4"/>
  <c r="H12" i="4"/>
  <c r="F12" i="4"/>
  <c r="E12" i="4"/>
  <c r="G12" i="4"/>
  <c r="I39" i="2"/>
  <c r="H39" i="2"/>
  <c r="G39" i="2"/>
  <c r="F39" i="2"/>
  <c r="J39" i="2"/>
  <c r="L39" i="2"/>
  <c r="K39" i="2"/>
  <c r="F6" i="2"/>
  <c r="G6" i="2" s="1"/>
  <c r="H6" i="2" s="1"/>
  <c r="I6" i="2" s="1"/>
  <c r="J6" i="2" s="1"/>
  <c r="F17" i="3"/>
  <c r="G14" i="3"/>
  <c r="G17" i="3"/>
  <c r="C3" i="13"/>
  <c r="D13" i="13"/>
  <c r="I76" i="2"/>
  <c r="I34" i="11"/>
  <c r="I33" i="11"/>
  <c r="K25" i="2"/>
  <c r="L25" i="2"/>
  <c r="J25" i="2"/>
  <c r="I15" i="2"/>
  <c r="I16" i="2" s="1"/>
  <c r="I20" i="2"/>
  <c r="I21" i="2" s="1"/>
  <c r="I83" i="2"/>
  <c r="I84" i="2"/>
  <c r="C10" i="11"/>
  <c r="C7" i="10"/>
  <c r="C3" i="5"/>
  <c r="C3" i="4"/>
  <c r="C3" i="3"/>
  <c r="C3" i="12"/>
  <c r="G76" i="2"/>
  <c r="E76" i="2"/>
  <c r="F15" i="2"/>
  <c r="F16" i="2" s="1"/>
  <c r="F20" i="2"/>
  <c r="F21" i="2" s="1"/>
  <c r="F63" i="2"/>
  <c r="G15" i="2"/>
  <c r="G20" i="2"/>
  <c r="G21" i="2" s="1"/>
  <c r="G63" i="2"/>
  <c r="H15" i="2"/>
  <c r="H16" i="2" s="1"/>
  <c r="H20" i="2"/>
  <c r="H21" i="2" s="1"/>
  <c r="H63" i="2"/>
  <c r="E20" i="2"/>
  <c r="E21" i="2" s="1"/>
  <c r="E63" i="2"/>
  <c r="S9" i="2"/>
  <c r="T9" i="2"/>
  <c r="Q9" i="2"/>
  <c r="I12" i="12"/>
  <c r="M12" i="12"/>
  <c r="K12" i="12"/>
  <c r="L12" i="12" s="1"/>
  <c r="I39" i="11"/>
  <c r="I38" i="11"/>
  <c r="O103" i="2"/>
  <c r="I16" i="12"/>
  <c r="I15" i="12"/>
  <c r="I14" i="12"/>
  <c r="I13" i="12"/>
  <c r="G34" i="11"/>
  <c r="G33" i="11"/>
  <c r="J34" i="2"/>
  <c r="K34" i="2" s="1"/>
  <c r="L34" i="2" s="1"/>
  <c r="B21" i="10"/>
  <c r="B23" i="10"/>
  <c r="B24" i="10"/>
  <c r="B25" i="10"/>
  <c r="K25" i="10"/>
  <c r="K24" i="10"/>
  <c r="K23" i="10"/>
  <c r="K22" i="10"/>
  <c r="K21" i="10"/>
  <c r="K20" i="10"/>
  <c r="M25" i="11"/>
  <c r="L25" i="11"/>
  <c r="K25" i="11"/>
  <c r="J25" i="11"/>
  <c r="I25" i="11"/>
  <c r="H25" i="11"/>
  <c r="G25" i="11"/>
  <c r="F25" i="11"/>
  <c r="E25" i="11"/>
  <c r="M28" i="11"/>
  <c r="L28" i="11"/>
  <c r="K28" i="11"/>
  <c r="J28" i="11"/>
  <c r="I28" i="11"/>
  <c r="H28" i="11"/>
  <c r="G28" i="11"/>
  <c r="F28" i="11"/>
  <c r="E28" i="11"/>
  <c r="M27" i="11"/>
  <c r="L27" i="11"/>
  <c r="K27" i="11"/>
  <c r="J27" i="11"/>
  <c r="I27" i="11"/>
  <c r="H27" i="11"/>
  <c r="G27" i="11"/>
  <c r="F27" i="11"/>
  <c r="E27" i="11"/>
  <c r="M26" i="11"/>
  <c r="L26" i="11"/>
  <c r="K26" i="11"/>
  <c r="J26" i="11"/>
  <c r="I26" i="11"/>
  <c r="H26" i="11"/>
  <c r="G26" i="11"/>
  <c r="F26" i="11"/>
  <c r="E26" i="11"/>
  <c r="M24" i="11"/>
  <c r="L24" i="11"/>
  <c r="K24" i="11"/>
  <c r="J24" i="11"/>
  <c r="I24" i="11"/>
  <c r="H24" i="11"/>
  <c r="G24" i="11"/>
  <c r="F24" i="11"/>
  <c r="E24" i="11"/>
  <c r="M23" i="11"/>
  <c r="L23" i="11"/>
  <c r="K23" i="11"/>
  <c r="J23" i="11"/>
  <c r="I23" i="11"/>
  <c r="H23" i="11"/>
  <c r="G23" i="11"/>
  <c r="F23" i="11"/>
  <c r="E23" i="11"/>
  <c r="P22" i="10"/>
  <c r="O22" i="10"/>
  <c r="N22" i="10"/>
  <c r="M22" i="10"/>
  <c r="L22" i="10"/>
  <c r="J22" i="10"/>
  <c r="I22" i="10"/>
  <c r="H22" i="10"/>
  <c r="G22" i="10"/>
  <c r="F22" i="10"/>
  <c r="E22" i="10"/>
  <c r="P25" i="10"/>
  <c r="O25" i="10"/>
  <c r="N25" i="10"/>
  <c r="M25" i="10"/>
  <c r="L25" i="10"/>
  <c r="J25" i="10"/>
  <c r="I25" i="10"/>
  <c r="H25" i="10"/>
  <c r="G25" i="10"/>
  <c r="F25" i="10"/>
  <c r="E25" i="10"/>
  <c r="P24" i="10"/>
  <c r="O24" i="10"/>
  <c r="N24" i="10"/>
  <c r="M24" i="10"/>
  <c r="L24" i="10"/>
  <c r="J24" i="10"/>
  <c r="I24" i="10"/>
  <c r="H24" i="10"/>
  <c r="G24" i="10"/>
  <c r="F24" i="10"/>
  <c r="E24" i="10"/>
  <c r="P23" i="10"/>
  <c r="O23" i="10"/>
  <c r="N23" i="10"/>
  <c r="M23" i="10"/>
  <c r="L23" i="10"/>
  <c r="J23" i="10"/>
  <c r="I23" i="10"/>
  <c r="G23" i="10"/>
  <c r="F23" i="10"/>
  <c r="E23" i="10"/>
  <c r="P21" i="10"/>
  <c r="O21" i="10"/>
  <c r="N21" i="10"/>
  <c r="M21" i="10"/>
  <c r="L21" i="10"/>
  <c r="J21" i="10"/>
  <c r="I21" i="10"/>
  <c r="H21" i="10"/>
  <c r="G21" i="10"/>
  <c r="F21" i="10"/>
  <c r="E21" i="10"/>
  <c r="P20" i="10"/>
  <c r="O20" i="10"/>
  <c r="N20" i="10"/>
  <c r="M20" i="10"/>
  <c r="L20" i="10"/>
  <c r="J20" i="10"/>
  <c r="I20" i="10"/>
  <c r="H20" i="10"/>
  <c r="G20" i="10"/>
  <c r="F20" i="10"/>
  <c r="E20" i="10"/>
  <c r="D6" i="5"/>
  <c r="E6" i="5"/>
  <c r="F6" i="5" s="1"/>
  <c r="G6" i="5" s="1"/>
  <c r="H6" i="5" s="1"/>
  <c r="D6" i="4"/>
  <c r="E6" i="4" s="1"/>
  <c r="F6" i="4" s="1"/>
  <c r="G6" i="4" s="1"/>
  <c r="H6" i="4" s="1"/>
  <c r="D6" i="3"/>
  <c r="E6" i="3"/>
  <c r="F6" i="3" s="1"/>
  <c r="G6" i="3" s="1"/>
  <c r="H6" i="3" s="1"/>
  <c r="I6" i="3" s="1"/>
  <c r="J6" i="3" s="1"/>
  <c r="K6" i="3" s="1"/>
  <c r="M14" i="12"/>
  <c r="L14" i="12" s="1"/>
  <c r="K14" i="12"/>
  <c r="M13" i="12"/>
  <c r="K13" i="12"/>
  <c r="F66" i="2"/>
  <c r="E66" i="2"/>
  <c r="E85" i="2"/>
  <c r="G84" i="2"/>
  <c r="H84" i="2"/>
  <c r="E48" i="5"/>
  <c r="D48" i="5"/>
  <c r="E25" i="5"/>
  <c r="F25" i="5"/>
  <c r="G25" i="5"/>
  <c r="G48" i="5"/>
  <c r="H48" i="5"/>
  <c r="F48" i="5"/>
  <c r="F10" i="2"/>
  <c r="G10" i="2"/>
  <c r="H10" i="2"/>
  <c r="I10" i="2"/>
  <c r="F14" i="2"/>
  <c r="G14" i="2"/>
  <c r="H14" i="2"/>
  <c r="I14" i="2"/>
  <c r="F35" i="2"/>
  <c r="G35" i="2"/>
  <c r="H35" i="2"/>
  <c r="I35" i="2"/>
  <c r="F14" i="3"/>
  <c r="E22" i="2" l="1"/>
  <c r="E81" i="2" s="1"/>
  <c r="K10" i="3"/>
  <c r="K19" i="3" s="1"/>
  <c r="K23" i="3" s="1"/>
  <c r="J23" i="3"/>
  <c r="I23" i="3"/>
  <c r="E20" i="3"/>
  <c r="I24" i="3"/>
  <c r="I25" i="3"/>
  <c r="I20" i="3"/>
  <c r="H20" i="3"/>
  <c r="J108" i="2"/>
  <c r="J14" i="2"/>
  <c r="J7" i="2"/>
  <c r="K6" i="2"/>
  <c r="J113" i="2"/>
  <c r="J21" i="2"/>
  <c r="J103" i="2"/>
  <c r="L13" i="12"/>
  <c r="E14" i="3"/>
  <c r="I70" i="2"/>
  <c r="I85" i="2" s="1"/>
  <c r="G42" i="5"/>
  <c r="G50" i="5" s="1"/>
  <c r="H42" i="5"/>
  <c r="H50" i="5" s="1"/>
  <c r="F76" i="2"/>
  <c r="D12" i="13"/>
  <c r="E42" i="5"/>
  <c r="F42" i="5"/>
  <c r="F50" i="5" s="1"/>
  <c r="G70" i="2"/>
  <c r="G85" i="2" s="1"/>
  <c r="H25" i="5"/>
  <c r="H70" i="2"/>
  <c r="H85" i="2" s="1"/>
  <c r="H76" i="2"/>
  <c r="F71" i="2"/>
  <c r="F84" i="2"/>
  <c r="I63" i="2"/>
  <c r="G66" i="2"/>
  <c r="G83" i="2"/>
  <c r="I66" i="2"/>
  <c r="E83" i="2"/>
  <c r="H83" i="2"/>
  <c r="H66" i="2"/>
  <c r="E84" i="2"/>
  <c r="F83" i="2"/>
  <c r="G22" i="2"/>
  <c r="G44" i="2" s="1"/>
  <c r="H22" i="2"/>
  <c r="G16" i="2"/>
  <c r="H17" i="3"/>
  <c r="H14" i="3"/>
  <c r="I22" i="2"/>
  <c r="I44" i="2" s="1"/>
  <c r="H27" i="2"/>
  <c r="H23" i="2"/>
  <c r="G20" i="3"/>
  <c r="F22" i="2"/>
  <c r="F44" i="2" s="1"/>
  <c r="F20" i="3"/>
  <c r="E17" i="3"/>
  <c r="E44" i="2" l="1"/>
  <c r="E48" i="2" s="1"/>
  <c r="H81" i="2"/>
  <c r="H44" i="2"/>
  <c r="G27" i="2"/>
  <c r="G30" i="2" s="1"/>
  <c r="G81" i="2"/>
  <c r="G82" i="2" s="1"/>
  <c r="G86" i="2" s="1"/>
  <c r="G53" i="2" s="1"/>
  <c r="G68" i="2" s="1"/>
  <c r="G23" i="2"/>
  <c r="K108" i="2"/>
  <c r="K14" i="2"/>
  <c r="K103" i="2"/>
  <c r="K7" i="2"/>
  <c r="K113" i="2"/>
  <c r="K21" i="2"/>
  <c r="L6" i="2"/>
  <c r="I71" i="2"/>
  <c r="G71" i="2"/>
  <c r="H71" i="2"/>
  <c r="I81" i="2"/>
  <c r="I27" i="2"/>
  <c r="I23" i="2"/>
  <c r="H31" i="2"/>
  <c r="H30" i="2"/>
  <c r="F27" i="2"/>
  <c r="F81" i="2"/>
  <c r="F23" i="2"/>
  <c r="E27" i="2"/>
  <c r="E23" i="2"/>
  <c r="H82" i="2" l="1"/>
  <c r="H86" i="2" s="1"/>
  <c r="H53" i="2" s="1"/>
  <c r="H68" i="2" s="1"/>
  <c r="G31" i="2"/>
  <c r="F8" i="4"/>
  <c r="L7" i="2"/>
  <c r="L103" i="2"/>
  <c r="L113" i="2"/>
  <c r="L21" i="2"/>
  <c r="L108" i="2"/>
  <c r="L14" i="2"/>
  <c r="J24" i="3"/>
  <c r="G55" i="2"/>
  <c r="G48" i="2"/>
  <c r="G49" i="2" s="1"/>
  <c r="G45" i="2"/>
  <c r="J25" i="3"/>
  <c r="I31" i="2"/>
  <c r="I30" i="2"/>
  <c r="I82" i="2" s="1"/>
  <c r="I86" i="2" s="1"/>
  <c r="I53" i="2" s="1"/>
  <c r="J26" i="3"/>
  <c r="G8" i="4"/>
  <c r="H36" i="2"/>
  <c r="H32" i="2"/>
  <c r="H48" i="2"/>
  <c r="H49" i="2" s="1"/>
  <c r="H45" i="2"/>
  <c r="F31" i="2"/>
  <c r="F30" i="2"/>
  <c r="F82" i="2" s="1"/>
  <c r="F86" i="2" s="1"/>
  <c r="F53" i="2" s="1"/>
  <c r="E82" i="2"/>
  <c r="E86" i="2" s="1"/>
  <c r="E53" i="2" s="1"/>
  <c r="E31" i="2"/>
  <c r="H55" i="2" l="1"/>
  <c r="G32" i="2"/>
  <c r="G36" i="2"/>
  <c r="J10" i="2"/>
  <c r="J9" i="2" s="1"/>
  <c r="K10" i="2"/>
  <c r="I68" i="2"/>
  <c r="I55" i="2"/>
  <c r="I56" i="2" s="1"/>
  <c r="I32" i="2"/>
  <c r="I36" i="2"/>
  <c r="I37" i="2" s="1"/>
  <c r="I48" i="2"/>
  <c r="I49" i="2" s="1"/>
  <c r="I45" i="2"/>
  <c r="K26" i="3"/>
  <c r="H37" i="2"/>
  <c r="H56" i="2"/>
  <c r="F68" i="2"/>
  <c r="F55" i="2"/>
  <c r="G56" i="2" s="1"/>
  <c r="F48" i="2"/>
  <c r="F49" i="2" s="1"/>
  <c r="F45" i="2"/>
  <c r="E8" i="4"/>
  <c r="F32" i="2"/>
  <c r="F36" i="2"/>
  <c r="G37" i="2" s="1"/>
  <c r="E55" i="2"/>
  <c r="E68" i="2"/>
  <c r="E45" i="2"/>
  <c r="E49" i="2"/>
  <c r="E36" i="2"/>
  <c r="E32" i="2"/>
  <c r="D8" i="4"/>
  <c r="J70" i="2" l="1"/>
  <c r="J85" i="2" s="1"/>
  <c r="J20" i="2"/>
  <c r="J62" i="2"/>
  <c r="J83" i="2" s="1"/>
  <c r="J13" i="2"/>
  <c r="J15" i="2" s="1"/>
  <c r="J65" i="2"/>
  <c r="J84" i="2" s="1"/>
  <c r="K9" i="2"/>
  <c r="K20" i="2" s="1"/>
  <c r="K20" i="3"/>
  <c r="K25" i="3"/>
  <c r="K24" i="3"/>
  <c r="F37" i="2"/>
  <c r="F56" i="2"/>
  <c r="J22" i="2" l="1"/>
  <c r="J81" i="2" s="1"/>
  <c r="J82" i="2" s="1"/>
  <c r="J86" i="2" s="1"/>
  <c r="J16" i="2"/>
  <c r="K65" i="2"/>
  <c r="K84" i="2" s="1"/>
  <c r="K62" i="2"/>
  <c r="K83" i="2" s="1"/>
  <c r="K70" i="2"/>
  <c r="K85" i="2" s="1"/>
  <c r="K13" i="2"/>
  <c r="K15" i="2" s="1"/>
  <c r="K16" i="2" s="1"/>
  <c r="L10" i="2"/>
  <c r="L9" i="2" s="1"/>
  <c r="J27" i="2" l="1"/>
  <c r="J29" i="2" s="1"/>
  <c r="J31" i="2" s="1"/>
  <c r="J32" i="2" s="1"/>
  <c r="J23" i="2"/>
  <c r="J44" i="2"/>
  <c r="J48" i="2" s="1"/>
  <c r="J49" i="2" s="1"/>
  <c r="K22" i="2"/>
  <c r="K23" i="2" s="1"/>
  <c r="L70" i="2"/>
  <c r="L85" i="2" s="1"/>
  <c r="L20" i="2"/>
  <c r="L65" i="2"/>
  <c r="L84" i="2" s="1"/>
  <c r="L13" i="2"/>
  <c r="L15" i="2" s="1"/>
  <c r="L16" i="2" s="1"/>
  <c r="L62" i="2"/>
  <c r="L83" i="2" s="1"/>
  <c r="J53" i="2"/>
  <c r="J88" i="2"/>
  <c r="D38" i="11" l="1"/>
  <c r="H38" i="11" s="1"/>
  <c r="J38" i="11" s="1"/>
  <c r="F16" i="12" s="1"/>
  <c r="K16" i="12" s="1"/>
  <c r="D34" i="11"/>
  <c r="F34" i="11" s="1"/>
  <c r="H34" i="11" s="1"/>
  <c r="J34" i="11" s="1"/>
  <c r="G15" i="12" s="1"/>
  <c r="M15" i="12" s="1"/>
  <c r="J45" i="2"/>
  <c r="J75" i="2"/>
  <c r="D39" i="11"/>
  <c r="H39" i="11" s="1"/>
  <c r="J39" i="11" s="1"/>
  <c r="G16" i="12" s="1"/>
  <c r="M16" i="12" s="1"/>
  <c r="J36" i="2"/>
  <c r="J37" i="2" s="1"/>
  <c r="K44" i="2"/>
  <c r="K48" i="2" s="1"/>
  <c r="K49" i="2" s="1"/>
  <c r="K27" i="2"/>
  <c r="K29" i="2" s="1"/>
  <c r="K31" i="2" s="1"/>
  <c r="K36" i="2" s="1"/>
  <c r="K81" i="2"/>
  <c r="K82" i="2" s="1"/>
  <c r="K86" i="2" s="1"/>
  <c r="K88" i="2" s="1"/>
  <c r="D33" i="11"/>
  <c r="F33" i="11" s="1"/>
  <c r="H33" i="11" s="1"/>
  <c r="J33" i="11" s="1"/>
  <c r="F15" i="12" s="1"/>
  <c r="K15" i="12" s="1"/>
  <c r="L22" i="2"/>
  <c r="J68" i="2"/>
  <c r="J55" i="2"/>
  <c r="J56" i="2" s="1"/>
  <c r="L23" i="2" l="1"/>
  <c r="L16" i="12"/>
  <c r="L15" i="12"/>
  <c r="K45" i="2"/>
  <c r="K37" i="2"/>
  <c r="K32" i="2"/>
  <c r="K75" i="2"/>
  <c r="K53" i="2"/>
  <c r="K55" i="2" s="1"/>
  <c r="K56" i="2" s="1"/>
  <c r="L27" i="2"/>
  <c r="L29" i="2" s="1"/>
  <c r="L31" i="2" s="1"/>
  <c r="L36" i="2" s="1"/>
  <c r="L44" i="2"/>
  <c r="L81" i="2"/>
  <c r="L82" i="2" s="1"/>
  <c r="L86" i="2" s="1"/>
  <c r="L53" i="2" s="1"/>
  <c r="L48" i="2" l="1"/>
  <c r="L49" i="2" s="1"/>
  <c r="F93" i="2"/>
  <c r="G93" i="2" s="1"/>
  <c r="K68" i="2"/>
  <c r="L32" i="2"/>
  <c r="L45" i="2"/>
  <c r="L75" i="2"/>
  <c r="L88" i="2"/>
  <c r="L90" i="2" s="1"/>
  <c r="D10" i="13"/>
  <c r="D16" i="13" s="1"/>
  <c r="D17" i="13" s="1"/>
  <c r="D18" i="13" s="1"/>
  <c r="L55" i="2"/>
  <c r="L56" i="2" s="1"/>
  <c r="L68" i="2"/>
  <c r="D11" i="13"/>
  <c r="D21" i="13" s="1"/>
  <c r="L37" i="2"/>
  <c r="H93" i="2" l="1"/>
  <c r="J93" i="2" s="1"/>
  <c r="D23" i="13"/>
  <c r="E95" i="2" l="1"/>
  <c r="E97" i="2" l="1"/>
  <c r="K93" i="2"/>
  <c r="O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Luke Preston</author>
    <author>Andy Majtara</author>
  </authors>
  <commentList>
    <comment ref="E6" authorId="0" shapeId="0" xr:uid="{E9AE7EEF-3A7B-4BB5-AAEF-F38B13FF5816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Insert Fiscal Year end date</t>
        </r>
      </text>
    </comment>
    <comment ref="R9" authorId="0" shapeId="0" xr:uid="{C069F2BF-40F1-406D-B658-78AB46A62ABD}">
      <text>
        <r>
          <rPr>
            <b/>
            <sz val="9"/>
            <color indexed="81"/>
            <rFont val="Tahoma"/>
            <family val="2"/>
          </rPr>
          <t>Luke Preston:</t>
        </r>
        <r>
          <rPr>
            <sz val="9"/>
            <color indexed="81"/>
            <rFont val="Tahoma"/>
            <family val="2"/>
          </rPr>
          <t xml:space="preserve">
Insert EV/EBITDA multiple here</t>
        </r>
      </text>
    </comment>
    <comment ref="J10" authorId="1" shapeId="0" xr:uid="{37221638-E7C0-47A1-8119-AA35EF029935}">
      <text>
        <r>
          <rPr>
            <b/>
            <sz val="9"/>
            <color rgb="FF000000"/>
            <rFont val="Tahoma"/>
            <family val="2"/>
          </rPr>
          <t>Andy Majtara: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Explantion</t>
        </r>
      </text>
    </comment>
    <comment ref="K10" authorId="1" shapeId="0" xr:uid="{9297941E-CB45-4280-94F0-EB78AC76EA36}">
      <text>
        <r>
          <rPr>
            <b/>
            <sz val="9"/>
            <color rgb="FF000000"/>
            <rFont val="Tahoma"/>
            <family val="2"/>
          </rPr>
          <t>Andy Majtara: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Explantion</t>
        </r>
      </text>
    </comment>
    <comment ref="L10" authorId="1" shapeId="0" xr:uid="{94587C52-4245-47F6-B786-A1E81206A238}">
      <text>
        <r>
          <rPr>
            <b/>
            <sz val="9"/>
            <color rgb="FF000000"/>
            <rFont val="Tahoma"/>
            <family val="2"/>
          </rPr>
          <t>Andy Majtara: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Explantion</t>
        </r>
      </text>
    </comment>
    <comment ref="O12" authorId="0" shapeId="0" xr:uid="{4A9666C1-2F85-4CED-9242-099B5FB3DD7F}">
      <text>
        <r>
          <rPr>
            <b/>
            <sz val="9"/>
            <color indexed="81"/>
            <rFont val="Tahoma"/>
            <family val="2"/>
          </rPr>
          <t>Luke Preston:</t>
        </r>
        <r>
          <rPr>
            <sz val="9"/>
            <color indexed="81"/>
            <rFont val="Tahoma"/>
            <family val="2"/>
          </rPr>
          <t xml:space="preserve">
Insert WACC here</t>
        </r>
      </text>
    </comment>
    <comment ref="J21" authorId="1" shapeId="0" xr:uid="{B153BCB8-46EB-4A08-A4A5-0A81B20B2300}">
      <text>
        <r>
          <rPr>
            <b/>
            <sz val="9"/>
            <color rgb="FF000000"/>
            <rFont val="Tahoma"/>
            <family val="2"/>
          </rPr>
          <t>Andy Majtara: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Explantion</t>
        </r>
      </text>
    </comment>
    <comment ref="K21" authorId="1" shapeId="0" xr:uid="{955B0FDB-71A0-47CF-90C1-98327C20F9E8}">
      <text>
        <r>
          <rPr>
            <b/>
            <sz val="9"/>
            <color rgb="FF000000"/>
            <rFont val="Tahoma"/>
            <family val="2"/>
          </rPr>
          <t>Andy Majtara: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Explantion</t>
        </r>
      </text>
    </comment>
    <comment ref="L21" authorId="1" shapeId="0" xr:uid="{628FA3DA-ECFA-4D20-BD70-A31316BCDE6D}">
      <text>
        <r>
          <rPr>
            <b/>
            <sz val="9"/>
            <color indexed="81"/>
            <rFont val="Tahoma"/>
            <family val="2"/>
          </rPr>
          <t>Andy Majtara:</t>
        </r>
        <r>
          <rPr>
            <sz val="9"/>
            <color indexed="81"/>
            <rFont val="Tahoma"/>
            <family val="2"/>
          </rPr>
          <t xml:space="preserve">
Explantion</t>
        </r>
      </text>
    </comment>
    <comment ref="J30" authorId="1" shapeId="0" xr:uid="{F41E1CF0-8C51-474B-960C-A9E60B81E0CF}">
      <text>
        <r>
          <rPr>
            <b/>
            <sz val="9"/>
            <color indexed="81"/>
            <rFont val="Tahoma"/>
            <family val="2"/>
          </rPr>
          <t>Andy Majtara:</t>
        </r>
        <r>
          <rPr>
            <sz val="9"/>
            <color indexed="81"/>
            <rFont val="Tahoma"/>
            <family val="2"/>
          </rPr>
          <t xml:space="preserve">
Explanation</t>
        </r>
      </text>
    </comment>
    <comment ref="K30" authorId="1" shapeId="0" xr:uid="{B9BD0535-E8A2-474E-BD43-C82E8F5CC7FF}">
      <text>
        <r>
          <rPr>
            <b/>
            <sz val="9"/>
            <color indexed="81"/>
            <rFont val="Tahoma"/>
            <family val="2"/>
          </rPr>
          <t>Andy Majtara:</t>
        </r>
        <r>
          <rPr>
            <sz val="9"/>
            <color indexed="81"/>
            <rFont val="Tahoma"/>
            <family val="2"/>
          </rPr>
          <t xml:space="preserve">
Explanation</t>
        </r>
      </text>
    </comment>
    <comment ref="L30" authorId="1" shapeId="0" xr:uid="{36F3F0FA-171D-4910-9AE0-006BB0EFC703}">
      <text>
        <r>
          <rPr>
            <b/>
            <sz val="9"/>
            <color indexed="81"/>
            <rFont val="Tahoma"/>
            <family val="2"/>
          </rPr>
          <t>Andy Majtara:</t>
        </r>
        <r>
          <rPr>
            <sz val="9"/>
            <color indexed="81"/>
            <rFont val="Tahoma"/>
            <family val="2"/>
          </rPr>
          <t xml:space="preserve">
Explanation</t>
        </r>
      </text>
    </comment>
    <comment ref="L48" authorId="0" shapeId="0" xr:uid="{896FB9AA-E656-49D3-A2E8-2F42AFD22C1D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Terminal value calculation should be toggled to Adj. EBITDA in cases where adjustments are materially large (% Revenue)</t>
        </r>
      </text>
    </comment>
    <comment ref="J63" authorId="1" shapeId="0" xr:uid="{66C598C6-39BA-4420-9706-CCE66B2DF478}">
      <text>
        <r>
          <rPr>
            <b/>
            <sz val="9"/>
            <color rgb="FF000000"/>
            <rFont val="Tahoma"/>
            <family val="2"/>
          </rPr>
          <t>Andy Majtara: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  <comment ref="K63" authorId="1" shapeId="0" xr:uid="{435DE058-EE0B-46A5-9A11-E33C146CD82E}">
      <text>
        <r>
          <rPr>
            <b/>
            <sz val="9"/>
            <color indexed="81"/>
            <rFont val="Tahoma"/>
            <family val="2"/>
          </rPr>
          <t>Andy Majtara:</t>
        </r>
        <r>
          <rPr>
            <sz val="9"/>
            <color indexed="81"/>
            <rFont val="Tahoma"/>
            <family val="2"/>
          </rPr>
          <t xml:space="preserve">
Explanation</t>
        </r>
      </text>
    </comment>
    <comment ref="L63" authorId="1" shapeId="0" xr:uid="{1D876D6D-C792-4A62-AB2E-88BC4D0ED023}">
      <text>
        <r>
          <rPr>
            <b/>
            <sz val="9"/>
            <color indexed="81"/>
            <rFont val="Tahoma"/>
            <family val="2"/>
          </rPr>
          <t>Andy Majtara:</t>
        </r>
        <r>
          <rPr>
            <sz val="9"/>
            <color indexed="81"/>
            <rFont val="Tahoma"/>
            <family val="2"/>
          </rPr>
          <t xml:space="preserve">
Explanation</t>
        </r>
      </text>
    </comment>
    <comment ref="J66" authorId="1" shapeId="0" xr:uid="{D6FD719D-A836-4718-8060-452BD408DD19}">
      <text>
        <r>
          <rPr>
            <b/>
            <sz val="9"/>
            <color rgb="FF000000"/>
            <rFont val="Tahoma"/>
            <family val="2"/>
          </rPr>
          <t>Andy Majtara: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Explantion</t>
        </r>
      </text>
    </comment>
    <comment ref="K66" authorId="1" shapeId="0" xr:uid="{31852D07-431B-F645-8135-A7BAA639289C}">
      <text>
        <r>
          <rPr>
            <b/>
            <sz val="9"/>
            <color rgb="FF000000"/>
            <rFont val="Tahoma"/>
            <family val="2"/>
          </rPr>
          <t>Andy Majtara: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Explantion</t>
        </r>
      </text>
    </comment>
    <comment ref="L66" authorId="1" shapeId="0" xr:uid="{74E0FD9F-3550-E748-92BB-DEAF78D907E2}">
      <text>
        <r>
          <rPr>
            <b/>
            <sz val="9"/>
            <color rgb="FF000000"/>
            <rFont val="Tahoma"/>
            <family val="2"/>
          </rPr>
          <t>Andy Majtara: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Explantion</t>
        </r>
      </text>
    </comment>
    <comment ref="E93" authorId="1" shapeId="0" xr:uid="{A1AECEA7-40E1-463A-9D39-1611F73A139D}">
      <text>
        <r>
          <rPr>
            <b/>
            <sz val="9"/>
            <color rgb="FF000000"/>
            <rFont val="Tahoma"/>
            <family val="2"/>
          </rPr>
          <t>Andy Majtara: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Luke Preston</author>
  </authors>
  <commentList>
    <comment ref="I8" authorId="0" shapeId="0" xr:uid="{67CF0F1D-9E7A-4071-A221-BBB50FC58FD8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  <comment ref="J8" authorId="0" shapeId="0" xr:uid="{89B3B27C-CCED-4DA4-A58B-A584780D9DE2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  <comment ref="K8" authorId="0" shapeId="0" xr:uid="{BC123B99-92CF-41A4-8B19-A7D7EB55F03C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  <comment ref="I11" authorId="0" shapeId="0" xr:uid="{16B6409D-7A43-44E9-9FA4-CC5B261000ED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  <comment ref="J11" authorId="0" shapeId="0" xr:uid="{0DDD6592-5C42-4D84-8EE0-FAED1077A0CF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  <comment ref="K11" authorId="0" shapeId="0" xr:uid="{BFD383D3-9D88-4BC2-ABB8-F1DF24FC54EE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  <comment ref="I14" authorId="0" shapeId="0" xr:uid="{8D4107BB-698A-47B0-A671-113012B35A1B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  <comment ref="J14" authorId="0" shapeId="0" xr:uid="{79C04F48-A48A-43A8-AAC4-D9244B8008F9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  <comment ref="K14" authorId="0" shapeId="0" xr:uid="{5B2037D1-3259-41B5-AE08-F1C66D974043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  <comment ref="I17" authorId="0" shapeId="0" xr:uid="{8CEECAB6-D00D-42F8-B9C3-DC6984CC0A50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  <comment ref="J17" authorId="0" shapeId="0" xr:uid="{96F81C43-AE35-45CC-9CD6-946A2BA6ABFF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  <comment ref="K17" authorId="0" shapeId="0" xr:uid="{24EA5739-5DA9-4795-999E-5550BCEFD908}">
      <text>
        <r>
          <rPr>
            <b/>
            <sz val="9"/>
            <color rgb="FF000000"/>
            <rFont val="Tahoma"/>
            <family val="2"/>
          </rPr>
          <t>Luke Preston: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Explanation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<sst xmlns="http://schemas.openxmlformats.org/spreadsheetml/2006/main" count="346" uniqueCount="264">
  <si>
    <t>Implied Upside / Downside</t>
  </si>
  <si>
    <t>Current Price</t>
  </si>
  <si>
    <t>Value</t>
  </si>
  <si>
    <t>EV / EBITDA</t>
  </si>
  <si>
    <t>MV/Share</t>
  </si>
  <si>
    <t>Shares</t>
  </si>
  <si>
    <t>MV</t>
  </si>
  <si>
    <t>PV of TV</t>
  </si>
  <si>
    <t>TV</t>
  </si>
  <si>
    <t>Multiples</t>
  </si>
  <si>
    <t>Terminal Value</t>
  </si>
  <si>
    <t>Exit</t>
  </si>
  <si>
    <t>PV of CF - Firm</t>
  </si>
  <si>
    <t>Cash Flow to the Firm</t>
  </si>
  <si>
    <t>-  Changes in NWC</t>
  </si>
  <si>
    <t>-  Capital Expenditures</t>
  </si>
  <si>
    <t xml:space="preserve"> + D&amp;A</t>
  </si>
  <si>
    <t>-  Taxes</t>
  </si>
  <si>
    <t>EBIT</t>
  </si>
  <si>
    <t>Unlevered Free Cash Flow</t>
  </si>
  <si>
    <t>Net Income</t>
  </si>
  <si>
    <t>Net Debt/EBITDA</t>
  </si>
  <si>
    <t>Net Debt</t>
  </si>
  <si>
    <t xml:space="preserve">  Change in NWC</t>
  </si>
  <si>
    <t>Operating Working Capital</t>
  </si>
  <si>
    <t>Operating CF</t>
  </si>
  <si>
    <t xml:space="preserve">  Capital Ex/Revenue</t>
  </si>
  <si>
    <t>Capital Expenditures</t>
  </si>
  <si>
    <t xml:space="preserve">  Depreciation/Revenue</t>
  </si>
  <si>
    <t>Depreciation and Amortization</t>
  </si>
  <si>
    <t>Drivers</t>
  </si>
  <si>
    <t>Consensus Simple Free Cash Flow</t>
  </si>
  <si>
    <t>Simple Free Cash Growth</t>
  </si>
  <si>
    <t>Simple Free Cash Flow per Share</t>
  </si>
  <si>
    <t>EBITDA</t>
  </si>
  <si>
    <t xml:space="preserve">    EPS Growth</t>
  </si>
  <si>
    <t xml:space="preserve">  Change in share count</t>
  </si>
  <si>
    <t># diluted shares (in millions)</t>
  </si>
  <si>
    <t>Net Income Margin</t>
  </si>
  <si>
    <t>Tax Rate</t>
  </si>
  <si>
    <t>Income Tax Expense (Provision)</t>
  </si>
  <si>
    <t>EBT</t>
  </si>
  <si>
    <t>Other Expense</t>
  </si>
  <si>
    <t>Interest expense</t>
  </si>
  <si>
    <t>EBIT Margin</t>
  </si>
  <si>
    <t>Operating Income (EBIT)</t>
  </si>
  <si>
    <t>Operating Expense Margin</t>
  </si>
  <si>
    <t>Total Operating Expense</t>
  </si>
  <si>
    <t>Amortization of intangible assets</t>
  </si>
  <si>
    <t>Selling, general &amp; administrative expenses</t>
  </si>
  <si>
    <t>Gross Profit Margin</t>
  </si>
  <si>
    <t>Gross Profit</t>
  </si>
  <si>
    <t>COGS Margin</t>
  </si>
  <si>
    <t>Cost of Goods Sold</t>
  </si>
  <si>
    <t>Sales Growth</t>
  </si>
  <si>
    <t>Net sales</t>
  </si>
  <si>
    <t xml:space="preserve">Year  </t>
  </si>
  <si>
    <t>Projected</t>
  </si>
  <si>
    <t>Actual</t>
  </si>
  <si>
    <t>Total Revenue Growth</t>
  </si>
  <si>
    <t>Total Revenue</t>
  </si>
  <si>
    <t>E-Systems Growth</t>
  </si>
  <si>
    <t>-</t>
  </si>
  <si>
    <t>Report Date</t>
  </si>
  <si>
    <t>Cash Flow Statement</t>
  </si>
  <si>
    <t>Total Liabilities and Shareholder Equity</t>
  </si>
  <si>
    <t>Total equity</t>
  </si>
  <si>
    <t>Total Liabilities</t>
  </si>
  <si>
    <t>Total Non-Current Liabilities</t>
  </si>
  <si>
    <t>Non-Current Liabilities</t>
  </si>
  <si>
    <t>Total Current Liabilities</t>
  </si>
  <si>
    <t>Accrued liabilities</t>
  </si>
  <si>
    <t xml:space="preserve">Current Liabilities  </t>
  </si>
  <si>
    <t>Liabilities &amp; Shareholder Equity</t>
  </si>
  <si>
    <t>Total Assets</t>
  </si>
  <si>
    <t>Total Non-Current Assets</t>
  </si>
  <si>
    <t>Goodwill</t>
  </si>
  <si>
    <t>Non-Current Assets</t>
  </si>
  <si>
    <t>Total Current Assets</t>
  </si>
  <si>
    <t>Other current assets</t>
  </si>
  <si>
    <t>Raw materials</t>
  </si>
  <si>
    <t>Accounts receivable</t>
  </si>
  <si>
    <t>Cash &amp; cash equivalents</t>
  </si>
  <si>
    <t>Current Assets</t>
  </si>
  <si>
    <t>Assets</t>
  </si>
  <si>
    <t>Year</t>
  </si>
  <si>
    <t>Balance Sheet</t>
  </si>
  <si>
    <t>Valuation</t>
  </si>
  <si>
    <t>Div. Yield</t>
  </si>
  <si>
    <t>ROE</t>
  </si>
  <si>
    <t>ROA</t>
  </si>
  <si>
    <t>Cap</t>
  </si>
  <si>
    <t>Ticker</t>
  </si>
  <si>
    <t>Company</t>
  </si>
  <si>
    <t>Enterprise</t>
  </si>
  <si>
    <t>Market</t>
  </si>
  <si>
    <t>Maximum</t>
  </si>
  <si>
    <t>Third Quartile</t>
  </si>
  <si>
    <t>Mean</t>
  </si>
  <si>
    <t>Median</t>
  </si>
  <si>
    <t>First Quartile</t>
  </si>
  <si>
    <t>Minimum</t>
  </si>
  <si>
    <t>Com Eq</t>
  </si>
  <si>
    <t>Margin</t>
  </si>
  <si>
    <t>YoY</t>
  </si>
  <si>
    <t>Debt/</t>
  </si>
  <si>
    <t>Debt /</t>
  </si>
  <si>
    <t>Pretax</t>
  </si>
  <si>
    <t>Growth</t>
  </si>
  <si>
    <t>Net</t>
  </si>
  <si>
    <t>EPS</t>
  </si>
  <si>
    <t>Revenue</t>
  </si>
  <si>
    <t>Sales</t>
  </si>
  <si>
    <t>Earnings</t>
  </si>
  <si>
    <t xml:space="preserve">EV / </t>
  </si>
  <si>
    <t xml:space="preserve">Price / </t>
  </si>
  <si>
    <t>FY1</t>
  </si>
  <si>
    <t>Valuation Comparables</t>
  </si>
  <si>
    <t>Sensitivity Tables</t>
  </si>
  <si>
    <t>EV / EBITDA x WACC Effect on the Return Profile / Price</t>
  </si>
  <si>
    <t>Return Profile</t>
  </si>
  <si>
    <t>Check</t>
  </si>
  <si>
    <t>Projection Period</t>
  </si>
  <si>
    <t>EBITDA Margin</t>
  </si>
  <si>
    <t>3 year</t>
  </si>
  <si>
    <t>Rev. CAGR</t>
  </si>
  <si>
    <t>Consensus Sales Growth</t>
  </si>
  <si>
    <t>Simple Free Cash Flow</t>
  </si>
  <si>
    <t>Football Field Analysis</t>
  </si>
  <si>
    <t>EDIT</t>
  </si>
  <si>
    <t>DO NOT EDIT</t>
  </si>
  <si>
    <t>Range</t>
  </si>
  <si>
    <t>Type</t>
  </si>
  <si>
    <t>Methodology</t>
  </si>
  <si>
    <t>Low</t>
  </si>
  <si>
    <t>High</t>
  </si>
  <si>
    <t>Selection</t>
  </si>
  <si>
    <t>Difference</t>
  </si>
  <si>
    <t>52-Week Low/High</t>
  </si>
  <si>
    <t>DCF</t>
  </si>
  <si>
    <t xml:space="preserve">  Consensus EPS (adj.)</t>
  </si>
  <si>
    <t xml:space="preserve">  Consensus EPS (GAAP)</t>
  </si>
  <si>
    <t>EV /</t>
  </si>
  <si>
    <t>FCF</t>
  </si>
  <si>
    <t>FY2</t>
  </si>
  <si>
    <t>Scenario Analysis</t>
  </si>
  <si>
    <t>Bear Case</t>
  </si>
  <si>
    <t>Base Case</t>
  </si>
  <si>
    <t>Bull Case</t>
  </si>
  <si>
    <t>Revenue Growth</t>
  </si>
  <si>
    <t>x</t>
  </si>
  <si>
    <t>Earnings Per Share (GAAP)</t>
  </si>
  <si>
    <t>FY1 EV/EBITDA Valuation</t>
  </si>
  <si>
    <t xml:space="preserve">Enterprise </t>
  </si>
  <si>
    <t xml:space="preserve"> Multiple</t>
  </si>
  <si>
    <t>Low/High</t>
  </si>
  <si>
    <t>Debt</t>
  </si>
  <si>
    <t>Stock Price</t>
  </si>
  <si>
    <t>Outstanding</t>
  </si>
  <si>
    <t>Share</t>
  </si>
  <si>
    <t>Price</t>
  </si>
  <si>
    <t>2025E</t>
  </si>
  <si>
    <t>Analyst Research</t>
  </si>
  <si>
    <t>Price Targets</t>
  </si>
  <si>
    <t>Comparables EV/EBITDA</t>
  </si>
  <si>
    <t>Comparables P/E</t>
  </si>
  <si>
    <t>FY1 Price/Earnings Valuation</t>
  </si>
  <si>
    <t>Interest Expense (% Debt)</t>
  </si>
  <si>
    <t>&lt;&lt; Enter company name</t>
  </si>
  <si>
    <t>Change in NWC (% Revenue)</t>
  </si>
  <si>
    <t>2027E EBITDA Exit Method (4.5x - 5.0x) / Discount Rate (7.1% - 7.6%)</t>
  </si>
  <si>
    <t>Opex Margin</t>
  </si>
  <si>
    <t xml:space="preserve">[ New Segment] Growth </t>
  </si>
  <si>
    <t>Seating  (% Revenue)</t>
  </si>
  <si>
    <t>E-Systems  (% Revenue)</t>
  </si>
  <si>
    <t>[Insert New Segment Here]  (% Revenue)</t>
  </si>
  <si>
    <t xml:space="preserve">&lt;&lt;DO NOT DELETE </t>
  </si>
  <si>
    <t>3 Year Price Target</t>
  </si>
  <si>
    <t>Needed Data</t>
  </si>
  <si>
    <t>Notes</t>
  </si>
  <si>
    <t>Current Year</t>
  </si>
  <si>
    <t>2027 EBITDA</t>
  </si>
  <si>
    <t>From DCF</t>
  </si>
  <si>
    <t>2027 EPS</t>
  </si>
  <si>
    <t>Assume Debt stays at the same level</t>
  </si>
  <si>
    <t># Shares Outstanding</t>
  </si>
  <si>
    <t>3-year Price Target Using EBITDA</t>
  </si>
  <si>
    <t>= Enterprise Value - Net Debt</t>
  </si>
  <si>
    <t>= Equity Value / # Shares Outstanding</t>
  </si>
  <si>
    <t>3-year Price Target Using EPS</t>
  </si>
  <si>
    <t>= EPS x P/E</t>
  </si>
  <si>
    <t>3-Year Price Target - Blended</t>
  </si>
  <si>
    <t>Discount Rate (Bloomberg) - WACC</t>
  </si>
  <si>
    <t>Earnings Per Share (adj.)</t>
  </si>
  <si>
    <t>Adj. EPS Growth</t>
  </si>
  <si>
    <t>Total Adjustments</t>
  </si>
  <si>
    <t>Adjusted EBITDA</t>
  </si>
  <si>
    <t>FY1 EV/EBITDA</t>
  </si>
  <si>
    <t xml:space="preserve">FY1 P/E </t>
  </si>
  <si>
    <t>2027 Enterprise Value</t>
  </si>
  <si>
    <t>FY1 EV / EBITDA (4.5x - 5.0x)</t>
  </si>
  <si>
    <t>FY1 P/E (10.00x - 11.00x)</t>
  </si>
  <si>
    <t>Adj. EBITDA Margin</t>
  </si>
  <si>
    <t>Consensus EBITDA (adj.)</t>
  </si>
  <si>
    <t>2027 Equity Value</t>
  </si>
  <si>
    <t>2027 Projected Share Price</t>
  </si>
  <si>
    <t>Hand Calculate</t>
  </si>
  <si>
    <t>net income / loss</t>
  </si>
  <si>
    <t>adjustments to reconcile net income / loss</t>
  </si>
  <si>
    <t xml:space="preserve">changes in operating assets and liabilities </t>
  </si>
  <si>
    <t>Exchange rate effect on cash</t>
  </si>
  <si>
    <t>Proceeds from sales of marketable securities</t>
  </si>
  <si>
    <t>Purchases of marketable securities</t>
  </si>
  <si>
    <t>Purchase of property and equipment</t>
  </si>
  <si>
    <t>Issuance of common stock, net</t>
  </si>
  <si>
    <t>Repayments of senior notes</t>
  </si>
  <si>
    <t>Dividends paid</t>
  </si>
  <si>
    <t>Other Financing Activities (Net)</t>
  </si>
  <si>
    <t>Net Cash Flows Used In / Provided By Operating Activities</t>
  </si>
  <si>
    <t>Net Cash Flows Used In / Provided By Investing Activities</t>
  </si>
  <si>
    <t>Net Cash Flows Used In / Provided By Financing Activities</t>
  </si>
  <si>
    <t>Other Investing Activities (Net)</t>
  </si>
  <si>
    <t>Net Change in Cash, Cash Equivalents, and Restricted Cash</t>
  </si>
  <si>
    <t>Cash, Cash Equivalents, and Restricted Cash at End of Period</t>
  </si>
  <si>
    <t>Cash, Cash Equivalents, and Restricted Cash at Beginning of Period</t>
  </si>
  <si>
    <t>Property and equipment, net</t>
  </si>
  <si>
    <t>Operating lease right-of-use assets</t>
  </si>
  <si>
    <t>Other noncurrent assets</t>
  </si>
  <si>
    <t>Total Noncurrent Assets</t>
  </si>
  <si>
    <t>Accounts payable</t>
  </si>
  <si>
    <t>Operating lease liabilities (Current)</t>
  </si>
  <si>
    <t>Other current liabilities</t>
  </si>
  <si>
    <t>Other comprehensive income / loss</t>
  </si>
  <si>
    <t>Accumulated deficit</t>
  </si>
  <si>
    <t>Additional paid-in capital</t>
  </si>
  <si>
    <t>Common stock</t>
  </si>
  <si>
    <t>Other noncurrent liabilities</t>
  </si>
  <si>
    <t>Operating lease liabilities (Noncurrent)</t>
  </si>
  <si>
    <t>d</t>
  </si>
  <si>
    <t>GAMESTOP  (NYSE: GME)</t>
  </si>
  <si>
    <t>n/a</t>
  </si>
  <si>
    <t>GME</t>
  </si>
  <si>
    <t>Best Buy Co</t>
  </si>
  <si>
    <t>JB Hi-Fi</t>
  </si>
  <si>
    <t>Woolworths Group</t>
  </si>
  <si>
    <t>BBY-US</t>
  </si>
  <si>
    <t>JBH-AU</t>
  </si>
  <si>
    <t>WOW-AU</t>
  </si>
  <si>
    <t xml:space="preserve">target </t>
  </si>
  <si>
    <t xml:space="preserve">TGT </t>
  </si>
  <si>
    <t xml:space="preserve">Fnac Darty SA </t>
  </si>
  <si>
    <t xml:space="preserve">Nintendo </t>
  </si>
  <si>
    <t xml:space="preserve">ceconomy AG </t>
  </si>
  <si>
    <t>FNAC.PA</t>
  </si>
  <si>
    <t>CECG.DE</t>
  </si>
  <si>
    <t xml:space="preserve">NTDOY </t>
  </si>
  <si>
    <t xml:space="preserve">Hardware And accessories </t>
  </si>
  <si>
    <t>Software</t>
  </si>
  <si>
    <t xml:space="preserve">Collectibles </t>
  </si>
  <si>
    <t xml:space="preserve">not listed on factset </t>
  </si>
  <si>
    <t xml:space="preserve">not found on factset </t>
  </si>
  <si>
    <t>commentary</t>
  </si>
  <si>
    <t xml:space="preserve">understabd movement </t>
  </si>
  <si>
    <t xml:space="preserve">MOVE BEAR OUT OF MIDDLE RANGE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</si>
</sst>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"/>
    <numFmt numFmtId="166" formatCode="0.0"/>
    <numFmt numFmtId="167" formatCode="0.0\x"/>
    <numFmt numFmtId="168" formatCode="_(* #,##0_);_(* \(#,##0\);_(* &quot;-&quot;??_);_(@_)"/>
    <numFmt numFmtId="169" formatCode="_(* #,##0.0_);_(* \(#,##0.0\);_(* &quot;-&quot;??_);_(@_)"/>
    <numFmt numFmtId="170" formatCode="_(&quot;$&quot;* #,##0_);_(&quot;$&quot;* \(#,##0\);_(&quot;$&quot;* &quot;-&quot;??_);_(@_)"/>
    <numFmt numFmtId="171" formatCode="0.00%;\(0.00%\)"/>
    <numFmt numFmtId="172" formatCode="#,##0.00\x"/>
    <numFmt numFmtId="173" formatCode="0.00\x"/>
    <numFmt numFmtId="174" formatCode="#,##0_)"/>
    <numFmt numFmtId="175" formatCode="yyyy"/>
    <numFmt numFmtId="176" formatCode="_([$$-409]* #,##0.00_);_([$$-409]* \(#,##0.00\);_([$$-409]* &quot;-&quot;??_);_(@_)"/>
  </numFmts>
  <fonts count="61">
    <font>
      <sz val="11"/>
      <color theme="1"/>
      <name val="ArialNarrow"/>
      <family val="2"/>
    </font>
    <font>
      <sz val="11"/>
      <color theme="1"/>
      <name val="Aptos Narrow"/>
      <family val="2"/>
      <scheme val="minor"/>
    </font>
    <font>
      <sz val="11"/>
      <color theme="1"/>
      <name val="ArialNarrow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2"/>
      <color theme="0"/>
      <name val="Arial"/>
      <family val="2"/>
    </font>
    <font>
      <i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u/>
      <sz val="12"/>
      <color rgb="FF000000"/>
      <name val="Arial"/>
      <family val="2"/>
    </font>
    <font>
      <sz val="11"/>
      <color theme="1"/>
      <name val="Aptos Narrow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1"/>
      <color theme="1"/>
      <name val="Arial"/>
      <family val="2"/>
    </font>
    <font>
      <sz val="16"/>
      <color theme="0"/>
      <name val="Arial"/>
      <family val="2"/>
    </font>
    <font>
      <sz val="10"/>
      <color theme="0"/>
      <name val="Arial"/>
      <family val="2"/>
    </font>
    <font>
      <b/>
      <sz val="20"/>
      <color theme="0"/>
      <name val="Arial"/>
      <family val="2"/>
    </font>
    <font>
      <sz val="12"/>
      <color theme="1"/>
      <name val="Arial"/>
      <family val="2"/>
    </font>
    <font>
      <b/>
      <sz val="12"/>
      <color indexed="9"/>
      <name val="Arial"/>
      <family val="2"/>
    </font>
    <font>
      <b/>
      <u/>
      <sz val="14"/>
      <color rgb="FF000000"/>
      <name val="Arial"/>
      <family val="2"/>
    </font>
    <font>
      <b/>
      <sz val="13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sz val="12"/>
      <color rgb="FF0000CC"/>
      <name val="Arial"/>
      <family val="2"/>
    </font>
    <font>
      <b/>
      <i/>
      <sz val="12"/>
      <color rgb="FF000000"/>
      <name val="Arial"/>
      <family val="2"/>
    </font>
    <font>
      <sz val="12"/>
      <color theme="9" tint="-0.24997711111789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1"/>
      <color theme="0"/>
      <name val="Arial"/>
      <family val="2"/>
    </font>
    <font>
      <i/>
      <sz val="12"/>
      <color rgb="FFFF0000"/>
      <name val="Arial"/>
      <family val="2"/>
    </font>
    <font>
      <sz val="12"/>
      <color rgb="FFFF0000"/>
      <name val="Arial"/>
      <family val="2"/>
    </font>
    <font>
      <sz val="12"/>
      <color rgb="FF0000FF"/>
      <name val="Arial"/>
      <family val="2"/>
    </font>
    <font>
      <i/>
      <sz val="12"/>
      <color rgb="FF0000FF"/>
      <name val="Arial"/>
      <family val="2"/>
    </font>
    <font>
      <b/>
      <sz val="12"/>
      <color rgb="FF0000FF"/>
      <name val="Arial"/>
      <family val="2"/>
    </font>
    <font>
      <sz val="10"/>
      <color rgb="FF0000FF"/>
      <name val="Arial"/>
      <family val="2"/>
    </font>
    <font>
      <b/>
      <sz val="13"/>
      <color theme="1"/>
      <name val="Arial"/>
      <family val="2"/>
    </font>
    <font>
      <b/>
      <sz val="13"/>
      <color theme="1"/>
      <name val="ArialNarrow"/>
    </font>
    <font>
      <sz val="11"/>
      <color rgb="FF0000FF"/>
      <name val="Arial"/>
      <family val="2"/>
    </font>
    <font>
      <sz val="11"/>
      <color rgb="FF0B9518"/>
      <name val="Arial"/>
      <family val="2"/>
    </font>
    <font>
      <b/>
      <sz val="12"/>
      <color theme="1"/>
      <name val="Arial"/>
      <family val="2"/>
    </font>
    <font>
      <b/>
      <i/>
      <sz val="10"/>
      <color rgb="FF000000"/>
      <name val="Arial"/>
      <family val="2"/>
    </font>
    <font>
      <b/>
      <sz val="15"/>
      <color theme="1"/>
      <name val="Arial"/>
      <family val="2"/>
    </font>
    <font>
      <b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sz val="11"/>
      <color rgb="FF008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theme="1"/>
      <name val="ArialNarrow"/>
      <family val="2"/>
    </font>
    <font>
      <sz val="12"/>
      <color theme="1"/>
      <name val="ArialNarrow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3" fillId="0" borderId="0"/>
    <xf numFmtId="0" fontId="14" fillId="0" borderId="0"/>
    <xf numFmtId="0" fontId="14" fillId="0" borderId="0"/>
    <xf numFmtId="9" fontId="13" fillId="0" borderId="0" applyFont="0" applyFill="0" applyBorder="0" applyAlignment="0" applyProtection="0"/>
    <xf numFmtId="0" fontId="15" fillId="0" borderId="0" applyFill="0" applyBorder="0" applyProtection="0">
      <protection locked="0"/>
    </xf>
    <xf numFmtId="0" fontId="13" fillId="0" borderId="0"/>
    <xf numFmtId="0" fontId="15" fillId="0" borderId="0"/>
    <xf numFmtId="9" fontId="15" fillId="0" borderId="0" applyFont="0" applyFill="0" applyBorder="0" applyAlignment="0" applyProtection="0"/>
    <xf numFmtId="0" fontId="1" fillId="0" borderId="0"/>
  </cellStyleXfs>
  <cellXfs count="404">
    <xf numFmtId="0" fontId="0" fillId="0" borderId="0" xfId="0"/>
    <xf numFmtId="0" fontId="4" fillId="0" borderId="0" xfId="3" applyFont="1"/>
    <xf numFmtId="0" fontId="5" fillId="0" borderId="0" xfId="3" applyFont="1"/>
    <xf numFmtId="164" fontId="5" fillId="0" borderId="1" xfId="4" applyNumberFormat="1" applyFont="1" applyBorder="1"/>
    <xf numFmtId="0" fontId="5" fillId="0" borderId="4" xfId="3" applyFont="1" applyBorder="1"/>
    <xf numFmtId="2" fontId="5" fillId="0" borderId="5" xfId="3" applyNumberFormat="1" applyFont="1" applyBorder="1"/>
    <xf numFmtId="0" fontId="5" fillId="0" borderId="6" xfId="3" applyFont="1" applyBorder="1"/>
    <xf numFmtId="2" fontId="5" fillId="0" borderId="0" xfId="3" applyNumberFormat="1" applyFont="1"/>
    <xf numFmtId="165" fontId="5" fillId="0" borderId="0" xfId="3" applyNumberFormat="1" applyFont="1"/>
    <xf numFmtId="3" fontId="5" fillId="0" borderId="0" xfId="3" applyNumberFormat="1" applyFont="1"/>
    <xf numFmtId="0" fontId="6" fillId="0" borderId="7" xfId="3" applyFont="1" applyBorder="1" applyAlignment="1">
      <alignment horizontal="center"/>
    </xf>
    <xf numFmtId="0" fontId="5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164" fontId="5" fillId="0" borderId="0" xfId="3" applyNumberFormat="1" applyFont="1"/>
    <xf numFmtId="3" fontId="6" fillId="0" borderId="8" xfId="3" applyNumberFormat="1" applyFont="1" applyBorder="1"/>
    <xf numFmtId="3" fontId="6" fillId="0" borderId="0" xfId="3" applyNumberFormat="1" applyFont="1"/>
    <xf numFmtId="3" fontId="6" fillId="0" borderId="13" xfId="3" applyNumberFormat="1" applyFont="1" applyBorder="1"/>
    <xf numFmtId="168" fontId="5" fillId="0" borderId="7" xfId="5" applyNumberFormat="1" applyFont="1" applyBorder="1"/>
    <xf numFmtId="3" fontId="5" fillId="0" borderId="0" xfId="3" quotePrefix="1" applyNumberFormat="1" applyFont="1"/>
    <xf numFmtId="168" fontId="5" fillId="0" borderId="0" xfId="5" applyNumberFormat="1" applyFont="1"/>
    <xf numFmtId="168" fontId="5" fillId="0" borderId="13" xfId="5" applyNumberFormat="1" applyFont="1" applyBorder="1"/>
    <xf numFmtId="3" fontId="6" fillId="0" borderId="7" xfId="3" applyNumberFormat="1" applyFont="1" applyBorder="1"/>
    <xf numFmtId="164" fontId="7" fillId="0" borderId="0" xfId="3" applyNumberFormat="1" applyFont="1"/>
    <xf numFmtId="37" fontId="5" fillId="0" borderId="0" xfId="3" applyNumberFormat="1" applyFont="1"/>
    <xf numFmtId="37" fontId="5" fillId="0" borderId="13" xfId="3" applyNumberFormat="1" applyFont="1" applyBorder="1"/>
    <xf numFmtId="164" fontId="6" fillId="0" borderId="7" xfId="3" applyNumberFormat="1" applyFont="1" applyBorder="1"/>
    <xf numFmtId="2" fontId="7" fillId="0" borderId="0" xfId="3" applyNumberFormat="1" applyFont="1"/>
    <xf numFmtId="166" fontId="7" fillId="0" borderId="0" xfId="3" applyNumberFormat="1" applyFont="1"/>
    <xf numFmtId="0" fontId="7" fillId="0" borderId="0" xfId="3" applyFont="1"/>
    <xf numFmtId="168" fontId="6" fillId="0" borderId="0" xfId="5" applyNumberFormat="1" applyFont="1"/>
    <xf numFmtId="0" fontId="6" fillId="0" borderId="0" xfId="3" applyFont="1"/>
    <xf numFmtId="169" fontId="4" fillId="0" borderId="0" xfId="5" applyNumberFormat="1" applyFont="1"/>
    <xf numFmtId="168" fontId="4" fillId="0" borderId="0" xfId="5" applyNumberFormat="1" applyFont="1"/>
    <xf numFmtId="165" fontId="5" fillId="0" borderId="0" xfId="3" quotePrefix="1" applyNumberFormat="1" applyFont="1"/>
    <xf numFmtId="0" fontId="4" fillId="0" borderId="0" xfId="3" applyFont="1" applyAlignment="1">
      <alignment horizontal="left"/>
    </xf>
    <xf numFmtId="10" fontId="9" fillId="0" borderId="0" xfId="4" applyNumberFormat="1" applyFont="1"/>
    <xf numFmtId="0" fontId="9" fillId="0" borderId="0" xfId="3" applyFont="1" applyAlignment="1">
      <alignment horizontal="left"/>
    </xf>
    <xf numFmtId="168" fontId="10" fillId="0" borderId="17" xfId="5" applyNumberFormat="1" applyFont="1" applyBorder="1"/>
    <xf numFmtId="0" fontId="10" fillId="0" borderId="17" xfId="3" applyFont="1" applyBorder="1" applyAlignment="1">
      <alignment horizontal="left"/>
    </xf>
    <xf numFmtId="168" fontId="4" fillId="0" borderId="0" xfId="3" applyNumberFormat="1" applyFont="1"/>
    <xf numFmtId="168" fontId="10" fillId="0" borderId="15" xfId="5" applyNumberFormat="1" applyFont="1" applyBorder="1"/>
    <xf numFmtId="0" fontId="10" fillId="0" borderId="15" xfId="3" applyFont="1" applyBorder="1" applyAlignment="1">
      <alignment horizontal="left"/>
    </xf>
    <xf numFmtId="1" fontId="4" fillId="0" borderId="0" xfId="3" applyNumberFormat="1" applyFont="1"/>
    <xf numFmtId="0" fontId="4" fillId="0" borderId="0" xfId="3" applyFont="1" applyAlignment="1">
      <alignment horizontal="left" indent="1"/>
    </xf>
    <xf numFmtId="10" fontId="9" fillId="0" borderId="0" xfId="4" applyNumberFormat="1" applyFont="1" applyBorder="1"/>
    <xf numFmtId="170" fontId="9" fillId="0" borderId="0" xfId="6" applyNumberFormat="1" applyFont="1"/>
    <xf numFmtId="170" fontId="10" fillId="0" borderId="0" xfId="6" applyNumberFormat="1" applyFont="1"/>
    <xf numFmtId="0" fontId="10" fillId="0" borderId="0" xfId="3" applyFont="1" applyAlignment="1">
      <alignment horizontal="left"/>
    </xf>
    <xf numFmtId="0" fontId="10" fillId="0" borderId="0" xfId="3" applyFont="1" applyAlignment="1">
      <alignment horizontal="right" vertical="top" wrapText="1"/>
    </xf>
    <xf numFmtId="0" fontId="10" fillId="0" borderId="0" xfId="3" applyFont="1" applyAlignment="1">
      <alignment horizontal="left" vertical="top"/>
    </xf>
    <xf numFmtId="0" fontId="10" fillId="3" borderId="0" xfId="3" applyFont="1" applyFill="1" applyAlignment="1">
      <alignment horizontal="centerContinuous"/>
    </xf>
    <xf numFmtId="0" fontId="11" fillId="3" borderId="0" xfId="3" applyFont="1" applyFill="1" applyAlignment="1">
      <alignment horizontal="centerContinuous"/>
    </xf>
    <xf numFmtId="0" fontId="10" fillId="4" borderId="0" xfId="3" applyFont="1" applyFill="1" applyAlignment="1">
      <alignment horizontal="centerContinuous"/>
    </xf>
    <xf numFmtId="164" fontId="9" fillId="0" borderId="0" xfId="3" applyNumberFormat="1" applyFont="1"/>
    <xf numFmtId="0" fontId="9" fillId="0" borderId="0" xfId="3" applyFont="1"/>
    <xf numFmtId="37" fontId="10" fillId="0" borderId="17" xfId="3" applyNumberFormat="1" applyFont="1" applyBorder="1"/>
    <xf numFmtId="37" fontId="9" fillId="0" borderId="0" xfId="3" applyNumberFormat="1" applyFont="1"/>
    <xf numFmtId="37" fontId="4" fillId="0" borderId="0" xfId="3" applyNumberFormat="1" applyFont="1"/>
    <xf numFmtId="0" fontId="10" fillId="0" borderId="0" xfId="3" applyFont="1"/>
    <xf numFmtId="168" fontId="4" fillId="0" borderId="0" xfId="5" applyNumberFormat="1" applyFont="1" applyAlignment="1">
      <alignment horizontal="right"/>
    </xf>
    <xf numFmtId="0" fontId="10" fillId="4" borderId="0" xfId="3" applyFont="1" applyFill="1" applyAlignment="1">
      <alignment horizontal="left" vertical="top"/>
    </xf>
    <xf numFmtId="0" fontId="11" fillId="0" borderId="0" xfId="3" applyFont="1" applyAlignment="1">
      <alignment horizontal="centerContinuous"/>
    </xf>
    <xf numFmtId="0" fontId="10" fillId="4" borderId="0" xfId="3" applyFont="1" applyFill="1" applyAlignment="1">
      <alignment vertical="top" wrapText="1"/>
    </xf>
    <xf numFmtId="168" fontId="10" fillId="0" borderId="15" xfId="3" applyNumberFormat="1" applyFont="1" applyBorder="1"/>
    <xf numFmtId="168" fontId="10" fillId="0" borderId="0" xfId="5" applyNumberFormat="1" applyFont="1"/>
    <xf numFmtId="166" fontId="4" fillId="0" borderId="0" xfId="3" applyNumberFormat="1" applyFont="1" applyAlignment="1">
      <alignment horizontal="left"/>
    </xf>
    <xf numFmtId="168" fontId="10" fillId="0" borderId="0" xfId="5" applyNumberFormat="1" applyFont="1" applyBorder="1"/>
    <xf numFmtId="0" fontId="12" fillId="0" borderId="0" xfId="3" applyFont="1" applyAlignment="1">
      <alignment horizontal="left"/>
    </xf>
    <xf numFmtId="0" fontId="12" fillId="0" borderId="0" xfId="3" applyFont="1" applyAlignment="1">
      <alignment horizontal="left" vertical="top"/>
    </xf>
    <xf numFmtId="0" fontId="17" fillId="0" borderId="0" xfId="8" applyFont="1"/>
    <xf numFmtId="0" fontId="17" fillId="0" borderId="0" xfId="8" applyFont="1" applyAlignment="1">
      <alignment horizontal="center"/>
    </xf>
    <xf numFmtId="0" fontId="18" fillId="0" borderId="0" xfId="7" applyFont="1"/>
    <xf numFmtId="0" fontId="19" fillId="3" borderId="9" xfId="8" applyFont="1" applyFill="1" applyBorder="1" applyAlignment="1">
      <alignment horizontal="centerContinuous" vertical="center"/>
    </xf>
    <xf numFmtId="0" fontId="19" fillId="3" borderId="7" xfId="8" applyFont="1" applyFill="1" applyBorder="1" applyAlignment="1">
      <alignment horizontal="centerContinuous" vertical="center"/>
    </xf>
    <xf numFmtId="0" fontId="19" fillId="3" borderId="10" xfId="8" applyFont="1" applyFill="1" applyBorder="1" applyAlignment="1">
      <alignment horizontal="centerContinuous" vertical="center"/>
    </xf>
    <xf numFmtId="2" fontId="8" fillId="0" borderId="0" xfId="3" applyNumberFormat="1" applyFont="1"/>
    <xf numFmtId="43" fontId="4" fillId="0" borderId="0" xfId="1" applyFont="1" applyBorder="1" applyAlignment="1">
      <alignment horizontal="right"/>
    </xf>
    <xf numFmtId="164" fontId="10" fillId="0" borderId="0" xfId="2" applyNumberFormat="1" applyFont="1"/>
    <xf numFmtId="0" fontId="11" fillId="8" borderId="0" xfId="3" applyFont="1" applyFill="1" applyAlignment="1">
      <alignment horizontal="centerContinuous"/>
    </xf>
    <xf numFmtId="0" fontId="8" fillId="8" borderId="0" xfId="3" applyFont="1" applyFill="1" applyAlignment="1">
      <alignment horizontal="centerContinuous"/>
    </xf>
    <xf numFmtId="168" fontId="4" fillId="0" borderId="0" xfId="1" applyNumberFormat="1" applyFont="1" applyFill="1"/>
    <xf numFmtId="0" fontId="11" fillId="5" borderId="12" xfId="8" applyFont="1" applyFill="1" applyBorder="1" applyAlignment="1">
      <alignment horizontal="center"/>
    </xf>
    <xf numFmtId="0" fontId="11" fillId="5" borderId="13" xfId="8" applyFont="1" applyFill="1" applyBorder="1" applyAlignment="1">
      <alignment horizontal="center"/>
    </xf>
    <xf numFmtId="0" fontId="11" fillId="5" borderId="11" xfId="8" applyFont="1" applyFill="1" applyBorder="1" applyAlignment="1">
      <alignment horizontal="center"/>
    </xf>
    <xf numFmtId="0" fontId="11" fillId="5" borderId="19" xfId="8" applyFont="1" applyFill="1" applyBorder="1"/>
    <xf numFmtId="0" fontId="11" fillId="5" borderId="0" xfId="8" applyFont="1" applyFill="1"/>
    <xf numFmtId="0" fontId="11" fillId="5" borderId="0" xfId="8" applyFont="1" applyFill="1" applyAlignment="1">
      <alignment horizontal="center"/>
    </xf>
    <xf numFmtId="0" fontId="11" fillId="5" borderId="19" xfId="8" applyFont="1" applyFill="1" applyBorder="1" applyAlignment="1">
      <alignment horizontal="center"/>
    </xf>
    <xf numFmtId="0" fontId="11" fillId="5" borderId="18" xfId="8" applyFont="1" applyFill="1" applyBorder="1" applyAlignment="1">
      <alignment horizontal="center"/>
    </xf>
    <xf numFmtId="0" fontId="11" fillId="5" borderId="10" xfId="8" applyFont="1" applyFill="1" applyBorder="1"/>
    <xf numFmtId="0" fontId="11" fillId="5" borderId="7" xfId="9" applyFont="1" applyFill="1" applyBorder="1" applyAlignment="1">
      <alignment horizontal="center"/>
    </xf>
    <xf numFmtId="0" fontId="11" fillId="5" borderId="7" xfId="8" applyFont="1" applyFill="1" applyBorder="1" applyAlignment="1">
      <alignment horizontal="center"/>
    </xf>
    <xf numFmtId="0" fontId="11" fillId="5" borderId="10" xfId="8" applyFont="1" applyFill="1" applyBorder="1" applyAlignment="1">
      <alignment horizontal="center"/>
    </xf>
    <xf numFmtId="0" fontId="11" fillId="5" borderId="9" xfId="8" applyFont="1" applyFill="1" applyBorder="1" applyAlignment="1">
      <alignment horizontal="center"/>
    </xf>
    <xf numFmtId="0" fontId="5" fillId="6" borderId="19" xfId="8" applyFont="1" applyFill="1" applyBorder="1"/>
    <xf numFmtId="0" fontId="5" fillId="6" borderId="0" xfId="8" applyFont="1" applyFill="1"/>
    <xf numFmtId="0" fontId="5" fillId="6" borderId="0" xfId="8" applyFont="1" applyFill="1" applyAlignment="1">
      <alignment horizontal="center"/>
    </xf>
    <xf numFmtId="0" fontId="6" fillId="6" borderId="19" xfId="9" applyFont="1" applyFill="1" applyBorder="1"/>
    <xf numFmtId="0" fontId="6" fillId="6" borderId="0" xfId="9" applyFont="1" applyFill="1"/>
    <xf numFmtId="3" fontId="6" fillId="6" borderId="0" xfId="11" applyNumberFormat="1" applyFont="1" applyFill="1" applyBorder="1" applyAlignment="1" applyProtection="1">
      <alignment horizontal="right"/>
    </xf>
    <xf numFmtId="0" fontId="5" fillId="6" borderId="19" xfId="9" applyFont="1" applyFill="1" applyBorder="1"/>
    <xf numFmtId="0" fontId="5" fillId="6" borderId="0" xfId="9" applyFont="1" applyFill="1"/>
    <xf numFmtId="3" fontId="5" fillId="6" borderId="0" xfId="8" applyNumberFormat="1" applyFont="1" applyFill="1"/>
    <xf numFmtId="0" fontId="23" fillId="7" borderId="19" xfId="9" applyFont="1" applyFill="1" applyBorder="1"/>
    <xf numFmtId="3" fontId="23" fillId="7" borderId="0" xfId="9" applyNumberFormat="1" applyFont="1" applyFill="1"/>
    <xf numFmtId="3" fontId="5" fillId="6" borderId="0" xfId="11" applyNumberFormat="1" applyFont="1" applyFill="1" applyBorder="1" applyAlignment="1" applyProtection="1">
      <alignment horizontal="right"/>
    </xf>
    <xf numFmtId="3" fontId="5" fillId="6" borderId="0" xfId="8" applyNumberFormat="1" applyFont="1" applyFill="1" applyAlignment="1">
      <alignment horizontal="center"/>
    </xf>
    <xf numFmtId="166" fontId="5" fillId="6" borderId="19" xfId="8" applyNumberFormat="1" applyFont="1" applyFill="1" applyBorder="1"/>
    <xf numFmtId="0" fontId="5" fillId="2" borderId="19" xfId="8" applyFont="1" applyFill="1" applyBorder="1"/>
    <xf numFmtId="0" fontId="5" fillId="2" borderId="0" xfId="8" applyFont="1" applyFill="1"/>
    <xf numFmtId="3" fontId="5" fillId="2" borderId="0" xfId="11" applyNumberFormat="1" applyFont="1" applyFill="1" applyBorder="1" applyAlignment="1" applyProtection="1">
      <alignment horizontal="right"/>
    </xf>
    <xf numFmtId="0" fontId="5" fillId="2" borderId="10" xfId="8" applyFont="1" applyFill="1" applyBorder="1"/>
    <xf numFmtId="0" fontId="5" fillId="2" borderId="7" xfId="8" applyFont="1" applyFill="1" applyBorder="1"/>
    <xf numFmtId="3" fontId="5" fillId="2" borderId="7" xfId="11" applyNumberFormat="1" applyFont="1" applyFill="1" applyBorder="1" applyAlignment="1" applyProtection="1">
      <alignment horizontal="right"/>
    </xf>
    <xf numFmtId="0" fontId="17" fillId="0" borderId="18" xfId="8" applyFont="1" applyBorder="1"/>
    <xf numFmtId="0" fontId="11" fillId="5" borderId="22" xfId="8" applyFont="1" applyFill="1" applyBorder="1" applyAlignment="1">
      <alignment horizontal="center"/>
    </xf>
    <xf numFmtId="166" fontId="5" fillId="6" borderId="12" xfId="8" applyNumberFormat="1" applyFont="1" applyFill="1" applyBorder="1"/>
    <xf numFmtId="166" fontId="5" fillId="6" borderId="11" xfId="8" applyNumberFormat="1" applyFont="1" applyFill="1" applyBorder="1"/>
    <xf numFmtId="166" fontId="5" fillId="6" borderId="13" xfId="8" applyNumberFormat="1" applyFont="1" applyFill="1" applyBorder="1"/>
    <xf numFmtId="166" fontId="5" fillId="6" borderId="22" xfId="8" applyNumberFormat="1" applyFont="1" applyFill="1" applyBorder="1"/>
    <xf numFmtId="166" fontId="5" fillId="6" borderId="0" xfId="8" applyNumberFormat="1" applyFont="1" applyFill="1"/>
    <xf numFmtId="166" fontId="5" fillId="6" borderId="18" xfId="8" applyNumberFormat="1" applyFont="1" applyFill="1" applyBorder="1"/>
    <xf numFmtId="167" fontId="6" fillId="6" borderId="19" xfId="10" applyNumberFormat="1" applyFont="1" applyFill="1" applyBorder="1" applyAlignment="1">
      <alignment horizontal="right"/>
    </xf>
    <xf numFmtId="167" fontId="6" fillId="6" borderId="18" xfId="10" applyNumberFormat="1" applyFont="1" applyFill="1" applyBorder="1" applyAlignment="1">
      <alignment horizontal="right"/>
    </xf>
    <xf numFmtId="167" fontId="6" fillId="6" borderId="0" xfId="10" applyNumberFormat="1" applyFont="1" applyFill="1" applyBorder="1" applyAlignment="1">
      <alignment horizontal="right"/>
    </xf>
    <xf numFmtId="167" fontId="6" fillId="6" borderId="21" xfId="10" applyNumberFormat="1" applyFont="1" applyFill="1" applyBorder="1" applyAlignment="1">
      <alignment horizontal="right"/>
    </xf>
    <xf numFmtId="167" fontId="5" fillId="6" borderId="19" xfId="10" applyNumberFormat="1" applyFont="1" applyFill="1" applyBorder="1" applyAlignment="1">
      <alignment horizontal="center"/>
    </xf>
    <xf numFmtId="167" fontId="5" fillId="6" borderId="18" xfId="10" applyNumberFormat="1" applyFont="1" applyFill="1" applyBorder="1" applyAlignment="1">
      <alignment horizontal="center"/>
    </xf>
    <xf numFmtId="167" fontId="5" fillId="6" borderId="0" xfId="10" applyNumberFormat="1" applyFont="1" applyFill="1" applyBorder="1" applyAlignment="1">
      <alignment horizontal="center"/>
    </xf>
    <xf numFmtId="167" fontId="5" fillId="6" borderId="21" xfId="10" applyNumberFormat="1" applyFont="1" applyFill="1" applyBorder="1" applyAlignment="1">
      <alignment horizontal="center"/>
    </xf>
    <xf numFmtId="167" fontId="23" fillId="7" borderId="19" xfId="9" applyNumberFormat="1" applyFont="1" applyFill="1" applyBorder="1"/>
    <xf numFmtId="167" fontId="23" fillId="7" borderId="18" xfId="9" applyNumberFormat="1" applyFont="1" applyFill="1" applyBorder="1"/>
    <xf numFmtId="167" fontId="23" fillId="7" borderId="0" xfId="9" applyNumberFormat="1" applyFont="1" applyFill="1"/>
    <xf numFmtId="167" fontId="23" fillId="7" borderId="21" xfId="9" applyNumberFormat="1" applyFont="1" applyFill="1" applyBorder="1"/>
    <xf numFmtId="167" fontId="5" fillId="6" borderId="19" xfId="10" applyNumberFormat="1" applyFont="1" applyFill="1" applyBorder="1" applyAlignment="1">
      <alignment horizontal="right"/>
    </xf>
    <xf numFmtId="167" fontId="5" fillId="6" borderId="18" xfId="10" applyNumberFormat="1" applyFont="1" applyFill="1" applyBorder="1" applyAlignment="1">
      <alignment horizontal="right"/>
    </xf>
    <xf numFmtId="167" fontId="5" fillId="6" borderId="0" xfId="10" applyNumberFormat="1" applyFont="1" applyFill="1" applyBorder="1" applyAlignment="1">
      <alignment horizontal="right"/>
    </xf>
    <xf numFmtId="167" fontId="5" fillId="6" borderId="21" xfId="10" applyNumberFormat="1" applyFont="1" applyFill="1" applyBorder="1" applyAlignment="1">
      <alignment horizontal="right"/>
    </xf>
    <xf numFmtId="166" fontId="5" fillId="6" borderId="21" xfId="8" applyNumberFormat="1" applyFont="1" applyFill="1" applyBorder="1"/>
    <xf numFmtId="167" fontId="5" fillId="2" borderId="19" xfId="8" applyNumberFormat="1" applyFont="1" applyFill="1" applyBorder="1" applyAlignment="1">
      <alignment horizontal="right"/>
    </xf>
    <xf numFmtId="167" fontId="5" fillId="2" borderId="18" xfId="8" applyNumberFormat="1" applyFont="1" applyFill="1" applyBorder="1" applyAlignment="1">
      <alignment horizontal="right"/>
    </xf>
    <xf numFmtId="167" fontId="5" fillId="2" borderId="0" xfId="8" applyNumberFormat="1" applyFont="1" applyFill="1" applyAlignment="1">
      <alignment horizontal="right"/>
    </xf>
    <xf numFmtId="167" fontId="5" fillId="2" borderId="21" xfId="8" applyNumberFormat="1" applyFont="1" applyFill="1" applyBorder="1" applyAlignment="1">
      <alignment horizontal="right"/>
    </xf>
    <xf numFmtId="167" fontId="5" fillId="2" borderId="10" xfId="8" applyNumberFormat="1" applyFont="1" applyFill="1" applyBorder="1" applyAlignment="1">
      <alignment horizontal="right"/>
    </xf>
    <xf numFmtId="167" fontId="5" fillId="2" borderId="9" xfId="8" applyNumberFormat="1" applyFont="1" applyFill="1" applyBorder="1" applyAlignment="1">
      <alignment horizontal="right"/>
    </xf>
    <xf numFmtId="167" fontId="5" fillId="2" borderId="7" xfId="8" applyNumberFormat="1" applyFont="1" applyFill="1" applyBorder="1" applyAlignment="1">
      <alignment horizontal="right"/>
    </xf>
    <xf numFmtId="167" fontId="5" fillId="2" borderId="20" xfId="8" applyNumberFormat="1" applyFont="1" applyFill="1" applyBorder="1" applyAlignment="1">
      <alignment horizontal="right"/>
    </xf>
    <xf numFmtId="10" fontId="7" fillId="0" borderId="0" xfId="2" applyNumberFormat="1" applyFont="1"/>
    <xf numFmtId="3" fontId="7" fillId="0" borderId="16" xfId="3" applyNumberFormat="1" applyFont="1" applyBorder="1"/>
    <xf numFmtId="10" fontId="5" fillId="6" borderId="0" xfId="2" applyNumberFormat="1" applyFont="1" applyFill="1"/>
    <xf numFmtId="10" fontId="23" fillId="7" borderId="0" xfId="2" applyNumberFormat="1" applyFont="1" applyFill="1"/>
    <xf numFmtId="0" fontId="10" fillId="0" borderId="15" xfId="3" applyFont="1" applyBorder="1" applyAlignment="1">
      <alignment horizontal="left" indent="1"/>
    </xf>
    <xf numFmtId="0" fontId="10" fillId="0" borderId="17" xfId="3" applyFont="1" applyBorder="1" applyAlignment="1">
      <alignment horizontal="left" indent="1"/>
    </xf>
    <xf numFmtId="10" fontId="9" fillId="0" borderId="0" xfId="4" applyNumberFormat="1" applyFont="1" applyFill="1"/>
    <xf numFmtId="0" fontId="4" fillId="9" borderId="0" xfId="3" applyFont="1" applyFill="1"/>
    <xf numFmtId="164" fontId="7" fillId="0" borderId="13" xfId="2" applyNumberFormat="1" applyFont="1" applyBorder="1"/>
    <xf numFmtId="168" fontId="6" fillId="0" borderId="0" xfId="1" applyNumberFormat="1" applyFont="1"/>
    <xf numFmtId="0" fontId="22" fillId="0" borderId="7" xfId="12" applyFont="1" applyBorder="1"/>
    <xf numFmtId="0" fontId="15" fillId="0" borderId="0" xfId="13"/>
    <xf numFmtId="0" fontId="22" fillId="0" borderId="0" xfId="12" applyFont="1"/>
    <xf numFmtId="1" fontId="15" fillId="0" borderId="0" xfId="13" applyNumberFormat="1"/>
    <xf numFmtId="0" fontId="27" fillId="0" borderId="0" xfId="13" applyFont="1" applyAlignment="1">
      <alignment horizontal="center"/>
    </xf>
    <xf numFmtId="0" fontId="28" fillId="0" borderId="0" xfId="13" applyFont="1"/>
    <xf numFmtId="0" fontId="27" fillId="0" borderId="26" xfId="13" applyFont="1" applyBorder="1" applyAlignment="1">
      <alignment horizontal="centerContinuous"/>
    </xf>
    <xf numFmtId="0" fontId="27" fillId="0" borderId="27" xfId="13" applyFont="1" applyBorder="1" applyAlignment="1">
      <alignment horizontal="centerContinuous"/>
    </xf>
    <xf numFmtId="0" fontId="16" fillId="0" borderId="0" xfId="13" applyFont="1" applyAlignment="1">
      <alignment horizontal="center"/>
    </xf>
    <xf numFmtId="0" fontId="16" fillId="0" borderId="0" xfId="13" applyFont="1"/>
    <xf numFmtId="0" fontId="27" fillId="0" borderId="28" xfId="13" applyFont="1" applyBorder="1" applyAlignment="1">
      <alignment horizontal="center"/>
    </xf>
    <xf numFmtId="0" fontId="27" fillId="0" borderId="29" xfId="13" applyFont="1" applyBorder="1" applyAlignment="1">
      <alignment horizontal="center"/>
    </xf>
    <xf numFmtId="0" fontId="29" fillId="0" borderId="28" xfId="13" applyFont="1" applyBorder="1" applyAlignment="1">
      <alignment horizontal="center"/>
    </xf>
    <xf numFmtId="0" fontId="15" fillId="0" borderId="0" xfId="0" applyFont="1"/>
    <xf numFmtId="0" fontId="30" fillId="0" borderId="0" xfId="13" applyFont="1"/>
    <xf numFmtId="5" fontId="30" fillId="0" borderId="0" xfId="13" applyNumberFormat="1" applyFont="1"/>
    <xf numFmtId="0" fontId="29" fillId="11" borderId="6" xfId="13" applyFont="1" applyFill="1" applyBorder="1"/>
    <xf numFmtId="0" fontId="29" fillId="11" borderId="30" xfId="13" applyFont="1" applyFill="1" applyBorder="1"/>
    <xf numFmtId="5" fontId="29" fillId="11" borderId="30" xfId="13" applyNumberFormat="1" applyFont="1" applyFill="1" applyBorder="1"/>
    <xf numFmtId="1" fontId="29" fillId="11" borderId="30" xfId="13" applyNumberFormat="1" applyFont="1" applyFill="1" applyBorder="1"/>
    <xf numFmtId="5" fontId="29" fillId="11" borderId="5" xfId="13" applyNumberFormat="1" applyFont="1" applyFill="1" applyBorder="1"/>
    <xf numFmtId="0" fontId="29" fillId="11" borderId="4" xfId="13" applyFont="1" applyFill="1" applyBorder="1"/>
    <xf numFmtId="0" fontId="29" fillId="11" borderId="0" xfId="13" applyFont="1" applyFill="1"/>
    <xf numFmtId="5" fontId="29" fillId="11" borderId="0" xfId="13" applyNumberFormat="1" applyFont="1" applyFill="1"/>
    <xf numFmtId="1" fontId="29" fillId="11" borderId="0" xfId="13" applyNumberFormat="1" applyFont="1" applyFill="1"/>
    <xf numFmtId="5" fontId="29" fillId="11" borderId="3" xfId="13" applyNumberFormat="1" applyFont="1" applyFill="1" applyBorder="1"/>
    <xf numFmtId="5" fontId="15" fillId="0" borderId="0" xfId="13" applyNumberFormat="1"/>
    <xf numFmtId="167" fontId="4" fillId="0" borderId="0" xfId="13" applyNumberFormat="1" applyFont="1" applyAlignment="1">
      <alignment horizontal="right" vertical="center"/>
    </xf>
    <xf numFmtId="0" fontId="4" fillId="0" borderId="0" xfId="13" applyFont="1"/>
    <xf numFmtId="167" fontId="5" fillId="0" borderId="0" xfId="13" applyNumberFormat="1" applyFont="1" applyAlignment="1">
      <alignment horizontal="right" vertical="center"/>
    </xf>
    <xf numFmtId="0" fontId="12" fillId="0" borderId="0" xfId="13" applyFont="1"/>
    <xf numFmtId="167" fontId="31" fillId="0" borderId="0" xfId="13" applyNumberFormat="1" applyFont="1" applyAlignment="1">
      <alignment horizontal="right" vertical="center"/>
    </xf>
    <xf numFmtId="0" fontId="8" fillId="0" borderId="0" xfId="3" applyFont="1"/>
    <xf numFmtId="164" fontId="10" fillId="0" borderId="0" xfId="2" applyNumberFormat="1" applyFont="1" applyBorder="1"/>
    <xf numFmtId="167" fontId="10" fillId="0" borderId="7" xfId="3" applyNumberFormat="1" applyFont="1" applyBorder="1" applyAlignment="1">
      <alignment horizontal="center"/>
    </xf>
    <xf numFmtId="43" fontId="4" fillId="0" borderId="19" xfId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0" fontId="4" fillId="0" borderId="0" xfId="3" applyFont="1" applyAlignment="1">
      <alignment horizontal="center"/>
    </xf>
    <xf numFmtId="168" fontId="5" fillId="0" borderId="0" xfId="3" applyNumberFormat="1" applyFont="1"/>
    <xf numFmtId="10" fontId="5" fillId="0" borderId="0" xfId="3" applyNumberFormat="1" applyFont="1"/>
    <xf numFmtId="2" fontId="5" fillId="0" borderId="12" xfId="3" applyNumberFormat="1" applyFont="1" applyBorder="1"/>
    <xf numFmtId="2" fontId="5" fillId="0" borderId="13" xfId="3" applyNumberFormat="1" applyFont="1" applyBorder="1"/>
    <xf numFmtId="0" fontId="7" fillId="0" borderId="10" xfId="3" applyFont="1" applyBorder="1"/>
    <xf numFmtId="164" fontId="7" fillId="0" borderId="7" xfId="3" applyNumberFormat="1" applyFont="1" applyBorder="1"/>
    <xf numFmtId="8" fontId="5" fillId="0" borderId="0" xfId="3" applyNumberFormat="1" applyFont="1"/>
    <xf numFmtId="0" fontId="11" fillId="5" borderId="18" xfId="9" applyFont="1" applyFill="1" applyBorder="1" applyAlignment="1">
      <alignment horizontal="center"/>
    </xf>
    <xf numFmtId="0" fontId="11" fillId="5" borderId="21" xfId="9" applyFont="1" applyFill="1" applyBorder="1" applyAlignment="1">
      <alignment horizontal="center"/>
    </xf>
    <xf numFmtId="0" fontId="11" fillId="5" borderId="20" xfId="9" applyFont="1" applyFill="1" applyBorder="1" applyAlignment="1">
      <alignment horizontal="center"/>
    </xf>
    <xf numFmtId="164" fontId="18" fillId="0" borderId="0" xfId="7" applyNumberFormat="1" applyFont="1"/>
    <xf numFmtId="164" fontId="6" fillId="6" borderId="0" xfId="11" applyNumberFormat="1" applyFont="1" applyFill="1" applyBorder="1" applyAlignment="1" applyProtection="1">
      <alignment horizontal="right"/>
    </xf>
    <xf numFmtId="164" fontId="18" fillId="2" borderId="0" xfId="7" applyNumberFormat="1" applyFont="1" applyFill="1"/>
    <xf numFmtId="164" fontId="18" fillId="2" borderId="7" xfId="7" applyNumberFormat="1" applyFont="1" applyFill="1" applyBorder="1"/>
    <xf numFmtId="0" fontId="20" fillId="0" borderId="0" xfId="8" applyFont="1"/>
    <xf numFmtId="0" fontId="20" fillId="0" borderId="0" xfId="8" applyFont="1" applyAlignment="1">
      <alignment horizontal="center"/>
    </xf>
    <xf numFmtId="0" fontId="21" fillId="3" borderId="12" xfId="8" applyFont="1" applyFill="1" applyBorder="1"/>
    <xf numFmtId="0" fontId="20" fillId="3" borderId="13" xfId="8" applyFont="1" applyFill="1" applyBorder="1"/>
    <xf numFmtId="0" fontId="20" fillId="3" borderId="13" xfId="8" applyFont="1" applyFill="1" applyBorder="1" applyAlignment="1">
      <alignment horizontal="center"/>
    </xf>
    <xf numFmtId="0" fontId="20" fillId="3" borderId="11" xfId="8" applyFont="1" applyFill="1" applyBorder="1"/>
    <xf numFmtId="0" fontId="4" fillId="0" borderId="7" xfId="3" applyFont="1" applyBorder="1"/>
    <xf numFmtId="0" fontId="10" fillId="0" borderId="7" xfId="3" applyFont="1" applyBorder="1"/>
    <xf numFmtId="0" fontId="32" fillId="0" borderId="0" xfId="3" applyFont="1"/>
    <xf numFmtId="10" fontId="4" fillId="0" borderId="0" xfId="3" applyNumberFormat="1" applyFont="1"/>
    <xf numFmtId="165" fontId="5" fillId="0" borderId="0" xfId="3" applyNumberFormat="1" applyFont="1" applyAlignment="1">
      <alignment horizontal="center"/>
    </xf>
    <xf numFmtId="2" fontId="5" fillId="0" borderId="0" xfId="3" applyNumberFormat="1" applyFont="1" applyAlignment="1">
      <alignment horizontal="center"/>
    </xf>
    <xf numFmtId="164" fontId="5" fillId="0" borderId="0" xfId="3" applyNumberFormat="1" applyFont="1" applyAlignment="1">
      <alignment horizontal="center"/>
    </xf>
    <xf numFmtId="37" fontId="5" fillId="0" borderId="0" xfId="3" applyNumberFormat="1" applyFont="1" applyAlignment="1">
      <alignment horizontal="center"/>
    </xf>
    <xf numFmtId="164" fontId="7" fillId="0" borderId="0" xfId="3" applyNumberFormat="1" applyFont="1" applyAlignment="1">
      <alignment horizontal="center"/>
    </xf>
    <xf numFmtId="3" fontId="5" fillId="0" borderId="0" xfId="3" applyNumberFormat="1" applyFont="1" applyAlignment="1">
      <alignment horizontal="center"/>
    </xf>
    <xf numFmtId="10" fontId="9" fillId="0" borderId="0" xfId="3" applyNumberFormat="1" applyFont="1"/>
    <xf numFmtId="9" fontId="18" fillId="0" borderId="0" xfId="7" applyNumberFormat="1" applyFont="1"/>
    <xf numFmtId="165" fontId="2" fillId="0" borderId="0" xfId="0" applyNumberFormat="1" applyFont="1" applyAlignment="1">
      <alignment horizontal="right"/>
    </xf>
    <xf numFmtId="172" fontId="2" fillId="0" borderId="0" xfId="0" applyNumberFormat="1" applyFont="1" applyAlignment="1">
      <alignment horizontal="right"/>
    </xf>
    <xf numFmtId="0" fontId="38" fillId="0" borderId="0" xfId="13" applyFont="1"/>
    <xf numFmtId="0" fontId="26" fillId="10" borderId="23" xfId="13" applyFont="1" applyFill="1" applyBorder="1" applyAlignment="1">
      <alignment horizontal="centerContinuous"/>
    </xf>
    <xf numFmtId="0" fontId="26" fillId="10" borderId="24" xfId="13" applyFont="1" applyFill="1" applyBorder="1" applyAlignment="1">
      <alignment horizontal="centerContinuous"/>
    </xf>
    <xf numFmtId="0" fontId="26" fillId="10" borderId="25" xfId="13" applyFont="1" applyFill="1" applyBorder="1" applyAlignment="1">
      <alignment horizontal="centerContinuous"/>
    </xf>
    <xf numFmtId="0" fontId="36" fillId="3" borderId="0" xfId="7" applyFont="1" applyFill="1"/>
    <xf numFmtId="0" fontId="39" fillId="3" borderId="0" xfId="7" applyFont="1" applyFill="1"/>
    <xf numFmtId="0" fontId="36" fillId="3" borderId="0" xfId="7" applyFont="1" applyFill="1" applyAlignment="1">
      <alignment horizontal="center"/>
    </xf>
    <xf numFmtId="6" fontId="18" fillId="0" borderId="0" xfId="7" applyNumberFormat="1" applyFont="1"/>
    <xf numFmtId="174" fontId="18" fillId="0" borderId="0" xfId="7" applyNumberFormat="1" applyFont="1"/>
    <xf numFmtId="6" fontId="18" fillId="9" borderId="0" xfId="7" applyNumberFormat="1" applyFont="1" applyFill="1"/>
    <xf numFmtId="174" fontId="18" fillId="9" borderId="0" xfId="7" applyNumberFormat="1" applyFont="1" applyFill="1"/>
    <xf numFmtId="43" fontId="4" fillId="0" borderId="10" xfId="1" applyFont="1" applyBorder="1" applyAlignment="1">
      <alignment horizontal="center"/>
    </xf>
    <xf numFmtId="43" fontId="4" fillId="0" borderId="7" xfId="1" applyFont="1" applyBorder="1" applyAlignment="1">
      <alignment horizontal="center"/>
    </xf>
    <xf numFmtId="43" fontId="4" fillId="0" borderId="11" xfId="1" applyFont="1" applyBorder="1" applyAlignment="1">
      <alignment horizontal="center"/>
    </xf>
    <xf numFmtId="43" fontId="4" fillId="0" borderId="18" xfId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29" fillId="11" borderId="31" xfId="13" applyFont="1" applyFill="1" applyBorder="1"/>
    <xf numFmtId="0" fontId="29" fillId="11" borderId="7" xfId="13" applyFont="1" applyFill="1" applyBorder="1"/>
    <xf numFmtId="5" fontId="29" fillId="11" borderId="7" xfId="13" applyNumberFormat="1" applyFont="1" applyFill="1" applyBorder="1"/>
    <xf numFmtId="1" fontId="29" fillId="11" borderId="7" xfId="13" applyNumberFormat="1" applyFont="1" applyFill="1" applyBorder="1"/>
    <xf numFmtId="5" fontId="29" fillId="11" borderId="32" xfId="13" applyNumberFormat="1" applyFont="1" applyFill="1" applyBorder="1"/>
    <xf numFmtId="164" fontId="4" fillId="0" borderId="0" xfId="3" applyNumberFormat="1" applyFont="1"/>
    <xf numFmtId="0" fontId="40" fillId="0" borderId="0" xfId="3" applyFont="1"/>
    <xf numFmtId="168" fontId="40" fillId="0" borderId="0" xfId="3" applyNumberFormat="1" applyFont="1"/>
    <xf numFmtId="167" fontId="5" fillId="0" borderId="0" xfId="3" applyNumberFormat="1" applyFont="1"/>
    <xf numFmtId="10" fontId="5" fillId="0" borderId="0" xfId="2" applyNumberFormat="1" applyFont="1" applyFill="1"/>
    <xf numFmtId="10" fontId="6" fillId="0" borderId="0" xfId="2" applyNumberFormat="1" applyFont="1" applyFill="1"/>
    <xf numFmtId="168" fontId="5" fillId="0" borderId="0" xfId="5" applyNumberFormat="1" applyFont="1" applyFill="1"/>
    <xf numFmtId="43" fontId="7" fillId="0" borderId="0" xfId="5" applyFont="1" applyFill="1"/>
    <xf numFmtId="0" fontId="4" fillId="0" borderId="8" xfId="3" applyFont="1" applyBorder="1" applyAlignment="1">
      <alignment horizontal="center"/>
    </xf>
    <xf numFmtId="3" fontId="7" fillId="0" borderId="0" xfId="3" applyNumberFormat="1" applyFont="1"/>
    <xf numFmtId="10" fontId="7" fillId="0" borderId="0" xfId="4" applyNumberFormat="1" applyFont="1" applyFill="1" applyBorder="1"/>
    <xf numFmtId="0" fontId="24" fillId="0" borderId="0" xfId="3" applyFont="1" applyAlignment="1">
      <alignment horizontal="centerContinuous"/>
    </xf>
    <xf numFmtId="0" fontId="4" fillId="0" borderId="0" xfId="3" applyFont="1" applyAlignment="1">
      <alignment horizontal="centerContinuous"/>
    </xf>
    <xf numFmtId="168" fontId="5" fillId="0" borderId="0" xfId="5" applyNumberFormat="1" applyFont="1" applyFill="1" applyAlignment="1">
      <alignment horizontal="right"/>
    </xf>
    <xf numFmtId="171" fontId="33" fillId="2" borderId="33" xfId="3" applyNumberFormat="1" applyFont="1" applyFill="1" applyBorder="1" applyAlignment="1">
      <alignment horizontal="center"/>
    </xf>
    <xf numFmtId="0" fontId="11" fillId="12" borderId="0" xfId="3" applyFont="1" applyFill="1" applyAlignment="1">
      <alignment vertical="top" wrapText="1"/>
    </xf>
    <xf numFmtId="0" fontId="11" fillId="12" borderId="0" xfId="3" applyFont="1" applyFill="1" applyAlignment="1">
      <alignment horizontal="centerContinuous"/>
    </xf>
    <xf numFmtId="0" fontId="8" fillId="12" borderId="0" xfId="3" applyFont="1" applyFill="1" applyAlignment="1">
      <alignment horizontal="centerContinuous"/>
    </xf>
    <xf numFmtId="0" fontId="11" fillId="12" borderId="0" xfId="3" applyFont="1" applyFill="1" applyAlignment="1">
      <alignment horizontal="left" vertical="top"/>
    </xf>
    <xf numFmtId="0" fontId="25" fillId="11" borderId="33" xfId="3" applyFont="1" applyFill="1" applyBorder="1" applyAlignment="1">
      <alignment horizontal="left"/>
    </xf>
    <xf numFmtId="171" fontId="42" fillId="2" borderId="33" xfId="3" applyNumberFormat="1" applyFont="1" applyFill="1" applyBorder="1" applyAlignment="1">
      <alignment horizontal="center"/>
    </xf>
    <xf numFmtId="10" fontId="42" fillId="2" borderId="33" xfId="3" applyNumberFormat="1" applyFont="1" applyFill="1" applyBorder="1" applyAlignment="1">
      <alignment horizontal="center"/>
    </xf>
    <xf numFmtId="10" fontId="43" fillId="2" borderId="0" xfId="4" applyNumberFormat="1" applyFont="1" applyFill="1"/>
    <xf numFmtId="8" fontId="42" fillId="2" borderId="13" xfId="3" applyNumberFormat="1" applyFont="1" applyFill="1" applyBorder="1"/>
    <xf numFmtId="8" fontId="42" fillId="2" borderId="11" xfId="3" applyNumberFormat="1" applyFont="1" applyFill="1" applyBorder="1"/>
    <xf numFmtId="8" fontId="42" fillId="2" borderId="7" xfId="3" applyNumberFormat="1" applyFont="1" applyFill="1" applyBorder="1"/>
    <xf numFmtId="8" fontId="42" fillId="2" borderId="9" xfId="3" applyNumberFormat="1" applyFont="1" applyFill="1" applyBorder="1"/>
    <xf numFmtId="164" fontId="43" fillId="2" borderId="0" xfId="3" applyNumberFormat="1" applyFont="1" applyFill="1"/>
    <xf numFmtId="164" fontId="7" fillId="0" borderId="0" xfId="2" applyNumberFormat="1" applyFont="1"/>
    <xf numFmtId="164" fontId="43" fillId="2" borderId="0" xfId="2" applyNumberFormat="1" applyFont="1" applyFill="1"/>
    <xf numFmtId="167" fontId="42" fillId="2" borderId="0" xfId="3" applyNumberFormat="1" applyFont="1" applyFill="1"/>
    <xf numFmtId="10" fontId="43" fillId="2" borderId="14" xfId="4" applyNumberFormat="1" applyFont="1" applyFill="1" applyBorder="1"/>
    <xf numFmtId="164" fontId="42" fillId="2" borderId="0" xfId="3" applyNumberFormat="1" applyFont="1" applyFill="1"/>
    <xf numFmtId="5" fontId="45" fillId="0" borderId="0" xfId="13" applyNumberFormat="1" applyFont="1"/>
    <xf numFmtId="43" fontId="43" fillId="2" borderId="0" xfId="1" applyFont="1" applyFill="1"/>
    <xf numFmtId="164" fontId="44" fillId="0" borderId="0" xfId="2" applyNumberFormat="1" applyFont="1"/>
    <xf numFmtId="167" fontId="44" fillId="0" borderId="7" xfId="3" applyNumberFormat="1" applyFont="1" applyBorder="1" applyAlignment="1">
      <alignment horizontal="center"/>
    </xf>
    <xf numFmtId="0" fontId="41" fillId="0" borderId="0" xfId="3" applyFont="1" applyAlignment="1">
      <alignment horizontal="center"/>
    </xf>
    <xf numFmtId="164" fontId="41" fillId="0" borderId="0" xfId="3" applyNumberFormat="1" applyFont="1" applyAlignment="1">
      <alignment horizontal="center"/>
    </xf>
    <xf numFmtId="10" fontId="33" fillId="0" borderId="33" xfId="3" applyNumberFormat="1" applyFont="1" applyBorder="1" applyAlignment="1">
      <alignment horizontal="center"/>
    </xf>
    <xf numFmtId="0" fontId="46" fillId="0" borderId="7" xfId="12" applyFont="1" applyBorder="1"/>
    <xf numFmtId="0" fontId="37" fillId="0" borderId="0" xfId="12" applyFont="1"/>
    <xf numFmtId="0" fontId="46" fillId="0" borderId="0" xfId="0" applyFont="1"/>
    <xf numFmtId="0" fontId="25" fillId="0" borderId="0" xfId="3" applyFont="1"/>
    <xf numFmtId="0" fontId="47" fillId="0" borderId="0" xfId="0" applyFont="1"/>
    <xf numFmtId="0" fontId="22" fillId="0" borderId="0" xfId="7" applyFont="1"/>
    <xf numFmtId="0" fontId="11" fillId="5" borderId="0" xfId="9" applyFont="1" applyFill="1" applyAlignment="1">
      <alignment horizontal="center"/>
    </xf>
    <xf numFmtId="0" fontId="11" fillId="5" borderId="19" xfId="9" applyFont="1" applyFill="1" applyBorder="1" applyAlignment="1">
      <alignment horizontal="center"/>
    </xf>
    <xf numFmtId="9" fontId="5" fillId="6" borderId="0" xfId="8" applyNumberFormat="1" applyFont="1" applyFill="1"/>
    <xf numFmtId="9" fontId="5" fillId="6" borderId="19" xfId="8" applyNumberFormat="1" applyFont="1" applyFill="1" applyBorder="1"/>
    <xf numFmtId="9" fontId="5" fillId="6" borderId="18" xfId="8" applyNumberFormat="1" applyFont="1" applyFill="1" applyBorder="1"/>
    <xf numFmtId="9" fontId="22" fillId="6" borderId="0" xfId="7" applyNumberFormat="1" applyFont="1" applyFill="1"/>
    <xf numFmtId="9" fontId="22" fillId="6" borderId="19" xfId="7" applyNumberFormat="1" applyFont="1" applyFill="1" applyBorder="1"/>
    <xf numFmtId="166" fontId="22" fillId="6" borderId="19" xfId="7" applyNumberFormat="1" applyFont="1" applyFill="1" applyBorder="1"/>
    <xf numFmtId="9" fontId="22" fillId="6" borderId="18" xfId="7" applyNumberFormat="1" applyFont="1" applyFill="1" applyBorder="1"/>
    <xf numFmtId="9" fontId="6" fillId="6" borderId="0" xfId="10" applyFont="1" applyFill="1" applyBorder="1" applyAlignment="1">
      <alignment horizontal="right"/>
    </xf>
    <xf numFmtId="6" fontId="6" fillId="6" borderId="19" xfId="10" applyNumberFormat="1" applyFont="1" applyFill="1" applyBorder="1" applyAlignment="1">
      <alignment horizontal="right"/>
    </xf>
    <xf numFmtId="9" fontId="6" fillId="6" borderId="18" xfId="10" applyFont="1" applyFill="1" applyBorder="1" applyAlignment="1">
      <alignment horizontal="right"/>
    </xf>
    <xf numFmtId="9" fontId="5" fillId="6" borderId="0" xfId="10" applyFont="1" applyFill="1" applyBorder="1" applyAlignment="1">
      <alignment horizontal="center"/>
    </xf>
    <xf numFmtId="9" fontId="5" fillId="6" borderId="19" xfId="10" applyFont="1" applyFill="1" applyBorder="1" applyAlignment="1">
      <alignment horizontal="center"/>
    </xf>
    <xf numFmtId="9" fontId="5" fillId="6" borderId="18" xfId="10" applyFont="1" applyFill="1" applyBorder="1" applyAlignment="1">
      <alignment horizontal="center"/>
    </xf>
    <xf numFmtId="167" fontId="22" fillId="6" borderId="19" xfId="7" applyNumberFormat="1" applyFont="1" applyFill="1" applyBorder="1"/>
    <xf numFmtId="0" fontId="23" fillId="7" borderId="10" xfId="9" applyFont="1" applyFill="1" applyBorder="1"/>
    <xf numFmtId="0" fontId="23" fillId="7" borderId="7" xfId="9" applyFont="1" applyFill="1" applyBorder="1"/>
    <xf numFmtId="3" fontId="23" fillId="7" borderId="7" xfId="9" applyNumberFormat="1" applyFont="1" applyFill="1" applyBorder="1"/>
    <xf numFmtId="9" fontId="23" fillId="7" borderId="7" xfId="9" applyNumberFormat="1" applyFont="1" applyFill="1" applyBorder="1"/>
    <xf numFmtId="9" fontId="23" fillId="7" borderId="10" xfId="9" applyNumberFormat="1" applyFont="1" applyFill="1" applyBorder="1"/>
    <xf numFmtId="9" fontId="23" fillId="7" borderId="9" xfId="9" applyNumberFormat="1" applyFont="1" applyFill="1" applyBorder="1"/>
    <xf numFmtId="167" fontId="23" fillId="7" borderId="10" xfId="9" applyNumberFormat="1" applyFont="1" applyFill="1" applyBorder="1"/>
    <xf numFmtId="164" fontId="22" fillId="0" borderId="0" xfId="7" applyNumberFormat="1" applyFont="1"/>
    <xf numFmtId="1" fontId="5" fillId="6" borderId="19" xfId="10" applyNumberFormat="1" applyFont="1" applyFill="1" applyBorder="1" applyAlignment="1">
      <alignment horizontal="right"/>
    </xf>
    <xf numFmtId="9" fontId="22" fillId="0" borderId="18" xfId="7" applyNumberFormat="1" applyFont="1" applyBorder="1"/>
    <xf numFmtId="9" fontId="22" fillId="0" borderId="0" xfId="7" applyNumberFormat="1" applyFont="1"/>
    <xf numFmtId="9" fontId="22" fillId="0" borderId="21" xfId="7" applyNumberFormat="1" applyFont="1" applyBorder="1"/>
    <xf numFmtId="167" fontId="5" fillId="6" borderId="19" xfId="8" applyNumberFormat="1" applyFont="1" applyFill="1" applyBorder="1"/>
    <xf numFmtId="9" fontId="5" fillId="2" borderId="0" xfId="11" applyNumberFormat="1" applyFont="1" applyFill="1" applyBorder="1" applyAlignment="1" applyProtection="1">
      <alignment horizontal="right"/>
    </xf>
    <xf numFmtId="1" fontId="5" fillId="2" borderId="19" xfId="11" applyNumberFormat="1" applyFont="1" applyFill="1" applyBorder="1" applyAlignment="1" applyProtection="1">
      <alignment horizontal="right"/>
    </xf>
    <xf numFmtId="9" fontId="5" fillId="2" borderId="18" xfId="11" applyNumberFormat="1" applyFont="1" applyFill="1" applyBorder="1" applyAlignment="1" applyProtection="1">
      <alignment horizontal="right"/>
    </xf>
    <xf numFmtId="9" fontId="5" fillId="2" borderId="19" xfId="11" applyNumberFormat="1" applyFont="1" applyFill="1" applyBorder="1" applyAlignment="1" applyProtection="1">
      <alignment horizontal="right"/>
    </xf>
    <xf numFmtId="167" fontId="5" fillId="2" borderId="19" xfId="11" applyNumberFormat="1" applyFont="1" applyFill="1" applyBorder="1" applyAlignment="1" applyProtection="1">
      <alignment horizontal="right"/>
    </xf>
    <xf numFmtId="9" fontId="5" fillId="2" borderId="7" xfId="11" applyNumberFormat="1" applyFont="1" applyFill="1" applyBorder="1" applyAlignment="1" applyProtection="1">
      <alignment horizontal="right"/>
    </xf>
    <xf numFmtId="1" fontId="5" fillId="2" borderId="10" xfId="11" applyNumberFormat="1" applyFont="1" applyFill="1" applyBorder="1" applyAlignment="1" applyProtection="1">
      <alignment horizontal="right"/>
    </xf>
    <xf numFmtId="9" fontId="5" fillId="2" borderId="9" xfId="11" applyNumberFormat="1" applyFont="1" applyFill="1" applyBorder="1" applyAlignment="1" applyProtection="1">
      <alignment horizontal="right"/>
    </xf>
    <xf numFmtId="9" fontId="5" fillId="2" borderId="10" xfId="11" applyNumberFormat="1" applyFont="1" applyFill="1" applyBorder="1" applyAlignment="1" applyProtection="1">
      <alignment horizontal="right"/>
    </xf>
    <xf numFmtId="167" fontId="5" fillId="2" borderId="10" xfId="11" applyNumberFormat="1" applyFont="1" applyFill="1" applyBorder="1" applyAlignment="1" applyProtection="1">
      <alignment horizontal="right"/>
    </xf>
    <xf numFmtId="173" fontId="48" fillId="0" borderId="0" xfId="7" applyNumberFormat="1" applyFont="1"/>
    <xf numFmtId="6" fontId="49" fillId="0" borderId="0" xfId="7" applyNumberFormat="1" applyFont="1" applyAlignment="1">
      <alignment horizontal="center"/>
    </xf>
    <xf numFmtId="174" fontId="49" fillId="0" borderId="0" xfId="7" applyNumberFormat="1" applyFont="1"/>
    <xf numFmtId="6" fontId="49" fillId="0" borderId="0" xfId="7" applyNumberFormat="1" applyFont="1"/>
    <xf numFmtId="1" fontId="49" fillId="0" borderId="0" xfId="7" applyNumberFormat="1" applyFont="1"/>
    <xf numFmtId="10" fontId="42" fillId="2" borderId="0" xfId="2" applyNumberFormat="1" applyFont="1" applyFill="1"/>
    <xf numFmtId="168" fontId="42" fillId="2" borderId="0" xfId="1" applyNumberFormat="1" applyFont="1" applyFill="1"/>
    <xf numFmtId="2" fontId="42" fillId="0" borderId="3" xfId="3" applyNumberFormat="1" applyFont="1" applyBorder="1"/>
    <xf numFmtId="164" fontId="42" fillId="0" borderId="0" xfId="3" applyNumberFormat="1" applyFont="1"/>
    <xf numFmtId="168" fontId="4" fillId="0" borderId="0" xfId="1" applyNumberFormat="1" applyFont="1"/>
    <xf numFmtId="168" fontId="5" fillId="0" borderId="0" xfId="1" applyNumberFormat="1" applyFont="1" applyFill="1"/>
    <xf numFmtId="37" fontId="7" fillId="0" borderId="0" xfId="3" applyNumberFormat="1" applyFont="1"/>
    <xf numFmtId="9" fontId="50" fillId="6" borderId="0" xfId="7" applyNumberFormat="1" applyFont="1" applyFill="1" applyAlignment="1">
      <alignment horizontal="right"/>
    </xf>
    <xf numFmtId="9" fontId="50" fillId="6" borderId="19" xfId="7" applyNumberFormat="1" applyFont="1" applyFill="1" applyBorder="1" applyAlignment="1">
      <alignment horizontal="right"/>
    </xf>
    <xf numFmtId="167" fontId="50" fillId="6" borderId="19" xfId="7" applyNumberFormat="1" applyFont="1" applyFill="1" applyBorder="1" applyAlignment="1">
      <alignment horizontal="right"/>
    </xf>
    <xf numFmtId="9" fontId="50" fillId="6" borderId="18" xfId="7" applyNumberFormat="1" applyFont="1" applyFill="1" applyBorder="1" applyAlignment="1">
      <alignment horizontal="right"/>
    </xf>
    <xf numFmtId="175" fontId="10" fillId="0" borderId="0" xfId="3" applyNumberFormat="1" applyFont="1" applyAlignment="1">
      <alignment horizontal="right" vertical="top" wrapText="1"/>
    </xf>
    <xf numFmtId="175" fontId="10" fillId="0" borderId="0" xfId="3" applyNumberFormat="1" applyFont="1" applyAlignment="1">
      <alignment horizontal="center"/>
    </xf>
    <xf numFmtId="43" fontId="10" fillId="0" borderId="0" xfId="1" applyFont="1" applyAlignment="1">
      <alignment horizontal="right" vertical="top" wrapText="1"/>
    </xf>
    <xf numFmtId="0" fontId="51" fillId="0" borderId="0" xfId="3" applyFont="1" applyAlignment="1">
      <alignment horizontal="left"/>
    </xf>
    <xf numFmtId="0" fontId="18" fillId="0" borderId="0" xfId="0" applyFont="1"/>
    <xf numFmtId="0" fontId="52" fillId="0" borderId="0" xfId="15" applyFont="1"/>
    <xf numFmtId="0" fontId="5" fillId="0" borderId="0" xfId="15" applyFont="1"/>
    <xf numFmtId="0" fontId="53" fillId="0" borderId="7" xfId="0" applyFont="1" applyBorder="1" applyAlignment="1">
      <alignment horizontal="centerContinuous"/>
    </xf>
    <xf numFmtId="0" fontId="54" fillId="0" borderId="7" xfId="0" applyFont="1" applyBorder="1" applyAlignment="1">
      <alignment horizontal="centerContinuous"/>
    </xf>
    <xf numFmtId="0" fontId="55" fillId="0" borderId="7" xfId="0" applyFont="1" applyBorder="1" applyAlignment="1">
      <alignment horizontal="centerContinuous"/>
    </xf>
    <xf numFmtId="0" fontId="48" fillId="0" borderId="0" xfId="0" applyFont="1"/>
    <xf numFmtId="167" fontId="48" fillId="0" borderId="0" xfId="3" applyNumberFormat="1" applyFont="1"/>
    <xf numFmtId="5" fontId="56" fillId="0" borderId="0" xfId="0" applyNumberFormat="1" applyFont="1"/>
    <xf numFmtId="5" fontId="18" fillId="0" borderId="0" xfId="0" applyNumberFormat="1" applyFont="1"/>
    <xf numFmtId="7" fontId="56" fillId="0" borderId="0" xfId="0" applyNumberFormat="1" applyFont="1"/>
    <xf numFmtId="7" fontId="18" fillId="0" borderId="0" xfId="0" applyNumberFormat="1" applyFont="1"/>
    <xf numFmtId="5" fontId="48" fillId="0" borderId="0" xfId="0" applyNumberFormat="1" applyFont="1"/>
    <xf numFmtId="37" fontId="56" fillId="0" borderId="0" xfId="0" applyNumberFormat="1" applyFont="1"/>
    <xf numFmtId="37" fontId="18" fillId="0" borderId="0" xfId="0" applyNumberFormat="1" applyFont="1"/>
    <xf numFmtId="0" fontId="53" fillId="0" borderId="7" xfId="0" applyFont="1" applyBorder="1" applyAlignment="1">
      <alignment horizontal="left" vertical="top"/>
    </xf>
    <xf numFmtId="0" fontId="18" fillId="0" borderId="7" xfId="0" applyFont="1" applyBorder="1" applyAlignment="1">
      <alignment horizontal="left" vertical="top"/>
    </xf>
    <xf numFmtId="0" fontId="18" fillId="0" borderId="0" xfId="0" quotePrefix="1" applyFont="1"/>
    <xf numFmtId="0" fontId="53" fillId="0" borderId="17" xfId="0" applyFont="1" applyBorder="1"/>
    <xf numFmtId="7" fontId="53" fillId="0" borderId="17" xfId="0" applyNumberFormat="1" applyFont="1" applyBorder="1"/>
    <xf numFmtId="175" fontId="44" fillId="0" borderId="0" xfId="3" applyNumberFormat="1" applyFont="1" applyAlignment="1">
      <alignment horizontal="right" vertical="top" wrapText="1"/>
    </xf>
    <xf numFmtId="43" fontId="10" fillId="0" borderId="0" xfId="1" applyFont="1" applyFill="1" applyAlignment="1">
      <alignment horizontal="right" vertical="top" wrapText="1"/>
    </xf>
    <xf numFmtId="175" fontId="10" fillId="4" borderId="0" xfId="3" applyNumberFormat="1" applyFont="1" applyFill="1" applyAlignment="1">
      <alignment horizontal="right" vertical="top" wrapText="1"/>
    </xf>
    <xf numFmtId="175" fontId="11" fillId="12" borderId="0" xfId="3" applyNumberFormat="1" applyFont="1" applyFill="1" applyAlignment="1">
      <alignment horizontal="center" vertical="top" wrapText="1"/>
    </xf>
    <xf numFmtId="0" fontId="7" fillId="0" borderId="0" xfId="3" applyFont="1" applyAlignment="1">
      <alignment horizontal="left" indent="1"/>
    </xf>
    <xf numFmtId="176" fontId="42" fillId="2" borderId="0" xfId="1" applyNumberFormat="1" applyFont="1" applyFill="1"/>
    <xf numFmtId="168" fontId="42" fillId="0" borderId="0" xfId="1" applyNumberFormat="1" applyFont="1" applyFill="1"/>
    <xf numFmtId="0" fontId="5" fillId="0" borderId="16" xfId="3" applyFont="1" applyBorder="1" applyAlignment="1">
      <alignment horizontal="left"/>
    </xf>
    <xf numFmtId="164" fontId="7" fillId="0" borderId="15" xfId="3" applyNumberFormat="1" applyFont="1" applyBorder="1"/>
    <xf numFmtId="0" fontId="5" fillId="0" borderId="15" xfId="3" applyFont="1" applyBorder="1"/>
    <xf numFmtId="0" fontId="6" fillId="0" borderId="0" xfId="3" applyFont="1" applyAlignment="1">
      <alignment horizontal="left"/>
    </xf>
    <xf numFmtId="2" fontId="4" fillId="0" borderId="0" xfId="3" applyNumberFormat="1" applyFont="1"/>
    <xf numFmtId="168" fontId="4" fillId="0" borderId="0" xfId="5" applyNumberFormat="1" applyFont="1" applyFill="1"/>
    <xf numFmtId="168" fontId="4" fillId="0" borderId="0" xfId="5" applyNumberFormat="1" applyFont="1" applyBorder="1"/>
    <xf numFmtId="0" fontId="59" fillId="0" borderId="0" xfId="0" applyFont="1"/>
    <xf numFmtId="0" fontId="60" fillId="0" borderId="0" xfId="0" applyFont="1"/>
    <xf numFmtId="176" fontId="42" fillId="2" borderId="0" xfId="3" applyNumberFormat="1" applyFont="1" applyFill="1"/>
    <xf numFmtId="0" fontId="6" fillId="13" borderId="0" xfId="9" applyFont="1" applyFill="1"/>
    <xf numFmtId="9" fontId="0" fillId="0" borderId="0" xfId="2" applyFont="1"/>
    <xf numFmtId="43" fontId="43" fillId="0" borderId="0" xfId="5" applyFont="1" applyFill="1"/>
    <xf numFmtId="168" fontId="5" fillId="14" borderId="0" xfId="5" applyNumberFormat="1" applyFont="1" applyFill="1"/>
    <xf numFmtId="168" fontId="42" fillId="0" borderId="15" xfId="5" applyNumberFormat="1" applyFont="1" applyFill="1" applyBorder="1"/>
    <xf numFmtId="168" fontId="42" fillId="0" borderId="14" xfId="5" applyNumberFormat="1" applyFont="1" applyFill="1" applyBorder="1"/>
    <xf numFmtId="10" fontId="43" fillId="0" borderId="0" xfId="4" applyNumberFormat="1" applyFont="1" applyFill="1"/>
    <xf numFmtId="0" fontId="5" fillId="0" borderId="2" xfId="3" applyFont="1" applyBorder="1"/>
    <xf numFmtId="0" fontId="27" fillId="0" borderId="26" xfId="13" applyFont="1" applyBorder="1" applyAlignment="1">
      <alignment horizontal="center"/>
    </xf>
    <xf numFmtId="0" fontId="27" fillId="0" borderId="28" xfId="13" applyFont="1" applyBorder="1" applyAlignment="1">
      <alignment horizontal="center"/>
    </xf>
    <xf numFmtId="0" fontId="27" fillId="0" borderId="27" xfId="13" applyFont="1" applyBorder="1" applyAlignment="1">
      <alignment horizontal="center"/>
    </xf>
    <xf numFmtId="0" fontId="26" fillId="0" borderId="0" xfId="13" applyFont="1" applyAlignment="1">
      <alignment horizontal="center" vertical="center" textRotation="180"/>
    </xf>
  </cellXfs>
  <cellStyles count="16">
    <cellStyle name="_x000a_386grabber=M" xfId="11" xr:uid="{BE38980B-1DE2-2244-B0DF-9FB50E149460}"/>
    <cellStyle name="Comma" xfId="1" builtinId="3"/>
    <cellStyle name="Comma 2" xfId="5" xr:uid="{9D32400A-E673-A943-B7D4-C812E22E41E5}"/>
    <cellStyle name="Currency 2" xfId="6" xr:uid="{5E14A15A-EE1C-0A48-A2C1-AC180354E77D}"/>
    <cellStyle name="Normal" xfId="0" builtinId="0"/>
    <cellStyle name="Normal 2" xfId="3" xr:uid="{6612AA33-BD2B-3E4B-8C10-FE329F6C67F5}"/>
    <cellStyle name="Normal 2 2" xfId="7" xr:uid="{87E30940-1F71-EA40-9EA1-2180C448981C}"/>
    <cellStyle name="Normal 3" xfId="12" xr:uid="{4A946632-77EB-8041-8145-C904D1EBD57B}"/>
    <cellStyle name="Normal 3 2" xfId="15" xr:uid="{DC892075-C5F8-4679-B6AD-AEE7ADBDAD62}"/>
    <cellStyle name="Normal 4" xfId="13" xr:uid="{1F501FB6-72E5-BE44-8C15-6135382721C0}"/>
    <cellStyle name="Normal_Ch02 Pics v1.0" xfId="8" xr:uid="{31462E4C-3E34-A54D-A5F5-F1CCB4783935}"/>
    <cellStyle name="Normal_Ch03 Pics v1.0" xfId="9" xr:uid="{A6A06915-DF44-C44D-A8C8-A30FEF22B2A3}"/>
    <cellStyle name="Percent" xfId="2" builtinId="5"/>
    <cellStyle name="Percent 2" xfId="4" xr:uid="{7F59F9FE-8333-0543-A848-AA620F42CD46}"/>
    <cellStyle name="Percent 2 2" xfId="10" xr:uid="{9581F84C-BF68-614C-AAB5-DD1CF2B79896}"/>
    <cellStyle name="Percent 3" xfId="14" xr:uid="{F8420FA4-DCA8-4F0C-A095-27A49427F4F0}"/>
  </cellStyles>
  <dxfs count="5"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6"/>
      </font>
      <fill>
        <patternFill>
          <bgColor theme="6" tint="0.79998168889431442"/>
        </patternFill>
      </fill>
    </dxf>
    <dxf>
      <font>
        <b/>
        <i val="0"/>
        <color rgb="FFFF0000"/>
      </font>
      <fill>
        <patternFill>
          <bgColor rgb="FFFFC1C1"/>
        </patternFill>
      </fill>
    </dxf>
    <dxf>
      <font>
        <color rgb="FF9C0006"/>
      </font>
    </dxf>
    <dxf>
      <font>
        <color theme="6"/>
      </font>
    </dxf>
  </dxfs>
  <tableStyles count="0" defaultTableStyle="TableStyleMedium2" defaultPivotStyle="PivotStyleLight16"/>
  <colors>
    <mruColors>
      <color rgb="FF0000FF"/>
      <color rgb="FF0B9518"/>
      <color rgb="FFF3F3BF"/>
      <color rgb="FFFFC1C1"/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'Football Field'!$I$12:$I$16</c:f>
              <c:strCache>
                <c:ptCount val="5"/>
                <c:pt idx="0">
                  <c:v>Analyst Research</c:v>
                </c:pt>
                <c:pt idx="1">
                  <c:v>52-Week Low/High</c:v>
                </c:pt>
                <c:pt idx="2">
                  <c:v>DCF</c:v>
                </c:pt>
                <c:pt idx="3">
                  <c:v>Comparables EV/EBITDA</c:v>
                </c:pt>
                <c:pt idx="4">
                  <c:v>Comparables P/E</c:v>
                </c:pt>
              </c:strCache>
            </c:strRef>
          </c:cat>
          <c:val>
            <c:numRef>
              <c:f>'Football Field'!$J$12:$J$16</c:f>
              <c:numCache>
                <c:formatCode>General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F5B7-9245-AF65-5EFF76EBADD4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Field'!$I$12:$I$16</c:f>
              <c:strCache>
                <c:ptCount val="5"/>
                <c:pt idx="0">
                  <c:v>Analyst Research</c:v>
                </c:pt>
                <c:pt idx="1">
                  <c:v>52-Week Low/High</c:v>
                </c:pt>
                <c:pt idx="2">
                  <c:v>DCF</c:v>
                </c:pt>
                <c:pt idx="3">
                  <c:v>Comparables EV/EBITDA</c:v>
                </c:pt>
                <c:pt idx="4">
                  <c:v>Comparables P/E</c:v>
                </c:pt>
              </c:strCache>
            </c:strRef>
          </c:cat>
          <c:val>
            <c:numRef>
              <c:f>'Football Field'!$K$12:$K$16</c:f>
              <c:numCache>
                <c:formatCode>"$"#,##0_);\("$"#,##0\)</c:formatCode>
                <c:ptCount val="5"/>
                <c:pt idx="0">
                  <c:v>13.64</c:v>
                </c:pt>
                <c:pt idx="1">
                  <c:v>20.73</c:v>
                </c:pt>
                <c:pt idx="2">
                  <c:v>11.91</c:v>
                </c:pt>
                <c:pt idx="3">
                  <c:v>3.0853534675615237</c:v>
                </c:pt>
                <c:pt idx="4">
                  <c:v>7.7751051454138747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7-9245-AF65-5EFF76EBADD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5B7-9245-AF65-5EFF76EBADD4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5B7-9245-AF65-5EFF76EBADD4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B7-9245-AF65-5EFF76EBADD4}"/>
              </c:ext>
            </c:extLst>
          </c:dPt>
          <c:cat>
            <c:strRef>
              <c:f>'Football Field'!$I$12:$I$16</c:f>
              <c:strCache>
                <c:ptCount val="5"/>
                <c:pt idx="0">
                  <c:v>Analyst Research</c:v>
                </c:pt>
                <c:pt idx="1">
                  <c:v>52-Week Low/High</c:v>
                </c:pt>
                <c:pt idx="2">
                  <c:v>DCF</c:v>
                </c:pt>
                <c:pt idx="3">
                  <c:v>Comparables EV/EBITDA</c:v>
                </c:pt>
                <c:pt idx="4">
                  <c:v>Comparables P/E</c:v>
                </c:pt>
              </c:strCache>
            </c:strRef>
          </c:cat>
          <c:val>
            <c:numRef>
              <c:f>'Football Field'!$L$12:$L$16</c:f>
              <c:numCache>
                <c:formatCode>0</c:formatCode>
                <c:ptCount val="5"/>
                <c:pt idx="0">
                  <c:v>0.53999999999999915</c:v>
                </c:pt>
                <c:pt idx="1">
                  <c:v>15.080000000000002</c:v>
                </c:pt>
                <c:pt idx="2">
                  <c:v>108.09</c:v>
                </c:pt>
                <c:pt idx="3">
                  <c:v>0.44209619686800883</c:v>
                </c:pt>
                <c:pt idx="4">
                  <c:v>0.77751051454138853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5B7-9245-AF65-5EFF76EBADD4}"/>
            </c:ext>
          </c:extLst>
        </c:ser>
        <c:ser>
          <c:idx val="3"/>
          <c:order val="3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Field'!$I$12:$I$16</c:f>
              <c:strCache>
                <c:ptCount val="5"/>
                <c:pt idx="0">
                  <c:v>Analyst Research</c:v>
                </c:pt>
                <c:pt idx="1">
                  <c:v>52-Week Low/High</c:v>
                </c:pt>
                <c:pt idx="2">
                  <c:v>DCF</c:v>
                </c:pt>
                <c:pt idx="3">
                  <c:v>Comparables EV/EBITDA</c:v>
                </c:pt>
                <c:pt idx="4">
                  <c:v>Comparables P/E</c:v>
                </c:pt>
              </c:strCache>
            </c:strRef>
          </c:cat>
          <c:val>
            <c:numRef>
              <c:f>'Football Field'!$M$12:$M$16</c:f>
              <c:numCache>
                <c:formatCode>"$"#,##0_);\("$"#,##0\)</c:formatCode>
                <c:ptCount val="5"/>
                <c:pt idx="0">
                  <c:v>14.18</c:v>
                </c:pt>
                <c:pt idx="1">
                  <c:v>35.81</c:v>
                </c:pt>
                <c:pt idx="2">
                  <c:v>120</c:v>
                </c:pt>
                <c:pt idx="3">
                  <c:v>3.5274496644295326</c:v>
                </c:pt>
                <c:pt idx="4">
                  <c:v>8.5526156599552632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5B7-9245-AF65-5EFF76EBA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3563215"/>
        <c:axId val="343911695"/>
        <c:extLst/>
      </c:barChart>
      <c:catAx>
        <c:axId val="3435632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3911695"/>
        <c:crosses val="autoZero"/>
        <c:auto val="1"/>
        <c:lblAlgn val="ctr"/>
        <c:lblOffset val="100"/>
        <c:noMultiLvlLbl val="0"/>
      </c:catAx>
      <c:valAx>
        <c:axId val="343911695"/>
        <c:scaling>
          <c:orientation val="minMax"/>
          <c:max val="150"/>
          <c:min val="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3563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141392</xdr:colOff>
      <xdr:row>19</xdr:row>
      <xdr:rowOff>18036</xdr:rowOff>
    </xdr:from>
    <xdr:to>
      <xdr:col>8</xdr:col>
      <xdr:colOff>26412</xdr:colOff>
      <xdr:row>38</xdr:row>
      <xdr:rowOff>121799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C1C23A-665B-B844-9682-C8E3722C1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0.31406</cdr:x>
      <cdr:y>0.04712</cdr:y>
    </cdr:from>
    <cdr:to>
      <cdr:x>0.31567</cdr:x>
      <cdr:y>0.96445</cdr:y>
    </cdr:to>
    <cdr:cxnSp macro="">
      <cdr:nvCxnSpPr>
        <cdr:cNvPr id="2" name="Straight Arrow Connector 1">
          <a:extLst xmlns:a="http://schemas.openxmlformats.org/drawingml/2006/main">
            <a:ext uri="{FF2B5EF4-FFF2-40B4-BE49-F238E27FC236}">
              <a16:creationId xmlns:a16="http://schemas.microsoft.com/office/drawing/2014/main" id="{A0A61CEC-C983-822D-90F0-6559B7C59EC8}"/>
            </a:ext>
          </a:extLst>
        </cdr:cNvPr>
        <cdr:cNvCxnSpPr/>
      </cdr:nvCxnSpPr>
      <cdr:spPr>
        <a:xfrm xmlns:a="http://schemas.openxmlformats.org/drawingml/2006/main">
          <a:off x="2588326" y="177834"/>
          <a:ext cx="13269" cy="346206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0.85764</cdr:x>
      <cdr:y>0.78316</cdr:y>
    </cdr:from>
    <cdr:to>
      <cdr:x>0.8918</cdr:x>
      <cdr:y>0.78884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C5E5A2E2-04B5-3824-6629-2913EC51AD52}"/>
            </a:ext>
          </a:extLst>
        </cdr:cNvPr>
        <cdr:cNvSpPr/>
      </cdr:nvSpPr>
      <cdr:spPr>
        <a:xfrm xmlns:a="http://schemas.openxmlformats.org/drawingml/2006/main" rot="10800000" flipV="1">
          <a:off x="6401521" y="3776683"/>
          <a:ext cx="254944" cy="27432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0.88776</cdr:x>
      <cdr:y>0.76154</cdr:y>
    </cdr:from>
    <cdr:to>
      <cdr:x>0.9804</cdr:x>
      <cdr:y>0.80104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4214B7BF-F1F5-8F3D-0B80-6363416CE039}"/>
            </a:ext>
          </a:extLst>
        </cdr:cNvPr>
        <cdr:cNvSpPr txBox="1"/>
      </cdr:nvSpPr>
      <cdr:spPr>
        <a:xfrm xmlns:a="http://schemas.openxmlformats.org/drawingml/2006/main">
          <a:off x="6685101" y="3013564"/>
          <a:ext cx="697609" cy="1563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>
              <a:latin typeface="Arial" panose="020B0604020202020204" pitchFamily="34" charset="0"/>
              <a:cs typeface="Arial" panose="020B0604020202020204" pitchFamily="34" charset="0"/>
            </a:rPr>
            <a:t>Current Price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CB08-3EE4-4045-A566-5C0E00A7C26F}">
  <sheetPr>
    <pageSetUpPr fitToPage="1"/>
  </sheetPr>
  <dimension ref="B3:V129"/>
  <sheetViews>
    <sheetView showGridLines="0" tabSelected="1" view="pageBreakPreview" zoomScale="84" zoomScaleNormal="60" workbookViewId="0">
      <selection activeCell="U78" sqref="U78"/>
    </sheetView>
  </sheetViews>
  <sheetFormatPr baseColWidth="10" defaultColWidth="10.59765625" defaultRowHeight="16"/>
  <cols>
    <col min="1" max="1" width="3.59765625" style="1" customWidth="1"/>
    <col min="2" max="2" width="3.3984375" style="1" customWidth="1"/>
    <col min="3" max="3" width="3.59765625" style="194" customWidth="1"/>
    <col min="4" max="4" width="60" style="1" customWidth="1"/>
    <col min="5" max="5" width="17.59765625" style="1" customWidth="1"/>
    <col min="6" max="6" width="40.59765625" style="1" customWidth="1"/>
    <col min="7" max="7" width="18.796875" style="1" customWidth="1"/>
    <col min="8" max="8" width="18.3984375" style="1" customWidth="1"/>
    <col min="9" max="9" width="18" style="1" bestFit="1" customWidth="1"/>
    <col min="10" max="10" width="15.3984375" style="1" bestFit="1" customWidth="1"/>
    <col min="11" max="11" width="17.3984375" style="1" bestFit="1" customWidth="1"/>
    <col min="12" max="12" width="15.3984375" style="1" bestFit="1" customWidth="1"/>
    <col min="13" max="13" width="3.59765625" style="1" customWidth="1"/>
    <col min="14" max="14" width="5.59765625" style="1" customWidth="1"/>
    <col min="15" max="15" width="8.59765625" style="1" customWidth="1"/>
    <col min="16" max="16" width="22.796875" style="1" bestFit="1" customWidth="1"/>
    <col min="17" max="19" width="21" style="1" bestFit="1" customWidth="1"/>
    <col min="20" max="20" width="22.59765625" style="1" bestFit="1" customWidth="1"/>
    <col min="21" max="21" width="3.59765625" style="1" customWidth="1"/>
    <col min="22" max="195" width="14.3984375" style="1" customWidth="1"/>
    <col min="196" max="16384" width="10.59765625" style="1"/>
  </cols>
  <sheetData>
    <row r="3" spans="2:20" ht="17">
      <c r="D3" s="269" t="s">
        <v>239</v>
      </c>
      <c r="E3" s="54" t="s">
        <v>168</v>
      </c>
    </row>
    <row r="4" spans="2:20">
      <c r="D4" s="354"/>
    </row>
    <row r="5" spans="2:20" ht="18">
      <c r="E5" s="52" t="s">
        <v>58</v>
      </c>
      <c r="F5" s="52"/>
      <c r="G5" s="52"/>
      <c r="H5" s="52"/>
      <c r="I5" s="52"/>
      <c r="J5" s="51" t="s">
        <v>57</v>
      </c>
      <c r="K5" s="50"/>
      <c r="L5" s="50"/>
      <c r="P5" s="261" t="s">
        <v>118</v>
      </c>
      <c r="Q5" s="262"/>
      <c r="R5" s="262"/>
      <c r="S5" s="262"/>
      <c r="T5" s="262"/>
    </row>
    <row r="6" spans="2:20">
      <c r="D6" s="49" t="s">
        <v>56</v>
      </c>
      <c r="E6" s="375">
        <v>44227</v>
      </c>
      <c r="F6" s="351">
        <f>EOMONTH(E6,12)</f>
        <v>44592</v>
      </c>
      <c r="G6" s="351">
        <f t="shared" ref="G6:L6" si="0">EOMONTH(F6,12)</f>
        <v>44957</v>
      </c>
      <c r="H6" s="351">
        <f t="shared" si="0"/>
        <v>45322</v>
      </c>
      <c r="I6" s="351">
        <f t="shared" si="0"/>
        <v>45688</v>
      </c>
      <c r="J6" s="351">
        <f t="shared" si="0"/>
        <v>46053</v>
      </c>
      <c r="K6" s="351">
        <f t="shared" si="0"/>
        <v>46418</v>
      </c>
      <c r="L6" s="351">
        <f t="shared" si="0"/>
        <v>46783</v>
      </c>
    </row>
    <row r="7" spans="2:20">
      <c r="D7" s="49" t="s">
        <v>122</v>
      </c>
      <c r="E7" s="48"/>
      <c r="F7" s="48"/>
      <c r="G7" s="48"/>
      <c r="H7" s="48"/>
      <c r="I7" s="353"/>
      <c r="J7" s="376">
        <f ca="1">(J6-TODAY())/365</f>
        <v>-0.23561643835616439</v>
      </c>
      <c r="K7" s="376">
        <f t="shared" ref="K7:L7" ca="1" si="1">(K6-TODAY())/365</f>
        <v>0.76438356164383559</v>
      </c>
      <c r="L7" s="376">
        <f t="shared" ca="1" si="1"/>
        <v>1.7643835616438357</v>
      </c>
    </row>
    <row r="8" spans="2:20">
      <c r="D8" s="49"/>
      <c r="E8" s="48"/>
      <c r="F8" s="48"/>
      <c r="G8" s="48"/>
      <c r="H8" s="48"/>
      <c r="I8" s="48"/>
      <c r="P8" s="78" t="s">
        <v>119</v>
      </c>
      <c r="Q8" s="79"/>
      <c r="R8" s="79"/>
      <c r="S8" s="79"/>
      <c r="T8" s="79"/>
    </row>
    <row r="9" spans="2:20">
      <c r="B9" s="287" t="s">
        <v>150</v>
      </c>
      <c r="C9" s="1"/>
      <c r="D9" s="47" t="s">
        <v>55</v>
      </c>
      <c r="E9" s="46">
        <v>5089.8</v>
      </c>
      <c r="F9" s="46">
        <v>6010.7</v>
      </c>
      <c r="G9" s="46">
        <v>5927.2</v>
      </c>
      <c r="H9" s="46">
        <v>5272.8</v>
      </c>
      <c r="I9" s="46">
        <v>3823</v>
      </c>
      <c r="J9" s="46">
        <f ca="1">+I9*(1+J10)</f>
        <v>4033</v>
      </c>
      <c r="K9" s="46">
        <f ca="1">+J9*(1+K10)</f>
        <v>4341.2800000000007</v>
      </c>
      <c r="L9" s="46">
        <f ca="1">+K9*(1+L10)</f>
        <v>4633.1912000000011</v>
      </c>
      <c r="O9" s="75" t="str">
        <f ca="1">TEXT(K93,"0.0%;(0.0%)")&amp;" / "&amp;TEXT(J93,"$0.00")</f>
        <v>15.3% / $24.79</v>
      </c>
      <c r="P9" s="191">
        <f>+Q9-0.25</f>
        <v>4.25</v>
      </c>
      <c r="Q9" s="191">
        <f>+R9-0.25</f>
        <v>4.5</v>
      </c>
      <c r="R9" s="286">
        <v>4.75</v>
      </c>
      <c r="S9" s="191">
        <f>+R9+0.25</f>
        <v>5</v>
      </c>
      <c r="T9" s="191">
        <f>+S9+0.25</f>
        <v>5.25</v>
      </c>
    </row>
    <row r="10" spans="2:20">
      <c r="D10" s="36" t="s">
        <v>54</v>
      </c>
      <c r="E10" s="45"/>
      <c r="F10" s="35">
        <f>(F9/E9)-1</f>
        <v>0.18093048842783599</v>
      </c>
      <c r="G10" s="35">
        <f>(G9/F9)-1</f>
        <v>-1.3891892791189075E-2</v>
      </c>
      <c r="H10" s="35">
        <f>(H9/G9)-1</f>
        <v>-0.11040626265352949</v>
      </c>
      <c r="I10" s="35">
        <f>(I9/H9)-1</f>
        <v>-0.27495827643756643</v>
      </c>
      <c r="J10" s="153">
        <f ca="1">OFFSET($I$103,MATCH($L$101,$D$104:$D$106,0),MATCH(J$6,$J$103:$L$103,0))</f>
        <v>5.4930682709913636E-2</v>
      </c>
      <c r="K10" s="153">
        <f ca="1">OFFSET($I$103,MATCH($L$101,$D$104:$D$106,0),MATCH(K$6,$J$103:$L$103,0))</f>
        <v>7.6439375154971678E-2</v>
      </c>
      <c r="L10" s="153">
        <f ca="1">OFFSET($I$103,MATCH($L$101,$D$104:$D$106,0),MATCH(L$6,$J$103:$L$103,0))</f>
        <v>6.7240813769211094E-2</v>
      </c>
      <c r="O10" s="285">
        <v>8.1100000000000005E-2</v>
      </c>
      <c r="P10" s="192" t="str">
        <f t="dataTable" ref="P10:T14" dt2D="1" dtr="1" r1="E93" r2="E88" ca="1"/>
        <v>(89.5%) / $2.25</v>
      </c>
      <c r="Q10" s="193" t="str">
        <v>(88.4%) / $2.49</v>
      </c>
      <c r="R10" s="193" t="str">
        <v>(87.3%) / $2.74</v>
      </c>
      <c r="S10" s="193" t="str">
        <v>(86.1%) / $2.98</v>
      </c>
      <c r="T10" s="242" t="str">
        <v>(85.0%) / $3.22</v>
      </c>
    </row>
    <row r="11" spans="2:20">
      <c r="D11" s="36" t="s">
        <v>126</v>
      </c>
      <c r="E11" s="45"/>
      <c r="F11" s="35"/>
      <c r="G11" s="35"/>
      <c r="H11" s="35"/>
      <c r="I11" s="35"/>
      <c r="J11" s="398">
        <v>-2.0562245773620601E-2</v>
      </c>
      <c r="K11" s="398">
        <v>1.5356074847940882E-2</v>
      </c>
      <c r="L11" s="398">
        <v>3.0351194009343718E-2</v>
      </c>
      <c r="O11" s="285">
        <v>7.6100000000000001E-2</v>
      </c>
      <c r="P11" s="192" t="str">
        <v>(89.3%) / $2.29</v>
      </c>
      <c r="Q11" s="193" t="str">
        <v>(88.2%) / $2.54</v>
      </c>
      <c r="R11" s="193" t="str">
        <v>(87.1%) / $2.78</v>
      </c>
      <c r="S11" s="193" t="str">
        <v>(85.9%) / $3.03</v>
      </c>
      <c r="T11" s="243" t="str">
        <v>(84.8%) / $3.27</v>
      </c>
    </row>
    <row r="12" spans="2:20">
      <c r="D12" s="36"/>
      <c r="E12" s="45"/>
      <c r="F12" s="35"/>
      <c r="G12" s="35"/>
      <c r="H12" s="35"/>
      <c r="I12" s="35"/>
      <c r="J12" s="153"/>
      <c r="K12" s="153"/>
      <c r="L12" s="153"/>
      <c r="O12" s="285">
        <v>7.1800000000000003E-2</v>
      </c>
      <c r="P12" s="192" t="str">
        <v>(89.2%) / $2.33</v>
      </c>
      <c r="Q12" s="193" t="str">
        <v>(88.0%) / $2.58</v>
      </c>
      <c r="R12" s="193" t="str">
        <v>(86.9%) / $2.82</v>
      </c>
      <c r="S12" s="193" t="str">
        <v>(85.7%) / $3.07</v>
      </c>
      <c r="T12" s="243" t="str">
        <v>(84.6%) / $3.32</v>
      </c>
    </row>
    <row r="13" spans="2:20">
      <c r="D13" s="34" t="s">
        <v>53</v>
      </c>
      <c r="E13" s="32">
        <v>3830.3</v>
      </c>
      <c r="F13" s="32">
        <v>4662.8999999999996</v>
      </c>
      <c r="G13" s="32">
        <v>4555.1000000000004</v>
      </c>
      <c r="H13" s="32">
        <v>4267</v>
      </c>
      <c r="I13" s="32">
        <v>2709</v>
      </c>
      <c r="J13" s="32">
        <f ca="1">J14*J9</f>
        <v>2811.0009999999997</v>
      </c>
      <c r="K13" s="32">
        <f ca="1">K14*K9</f>
        <v>3008.5070400000004</v>
      </c>
      <c r="L13" s="32">
        <f ca="1">L14*L9</f>
        <v>3196.9019280000007</v>
      </c>
      <c r="O13" s="285">
        <v>6.6099999999999992E-2</v>
      </c>
      <c r="P13" s="192" t="str">
        <v>(88.9%) / $2.38</v>
      </c>
      <c r="Q13" s="193" t="str">
        <v>(87.8%) / $2.63</v>
      </c>
      <c r="R13" s="193" t="str">
        <v>(86.6%) / $2.88</v>
      </c>
      <c r="S13" s="193" t="str">
        <v>(85.4%) / $3.13</v>
      </c>
      <c r="T13" s="243" t="str">
        <v>(84.3%) / $3.38</v>
      </c>
    </row>
    <row r="14" spans="2:20">
      <c r="D14" s="36" t="s">
        <v>52</v>
      </c>
      <c r="E14" s="35">
        <f>E13/E9</f>
        <v>0.7525443042948643</v>
      </c>
      <c r="F14" s="35">
        <f>F13/F9</f>
        <v>0.77576654965311853</v>
      </c>
      <c r="G14" s="35">
        <f>G13/G9</f>
        <v>0.76850789580240253</v>
      </c>
      <c r="H14" s="35">
        <f>H13/H9</f>
        <v>0.80924745865574266</v>
      </c>
      <c r="I14" s="35">
        <f>I13/I9</f>
        <v>0.70860580695788644</v>
      </c>
      <c r="J14" s="225">
        <f ca="1">OFFSET($I$108,MATCH($L$101,$D$109:$D$111,0),MATCH(J$6,$J$108:$L$108,0))</f>
        <v>0.69699999999999995</v>
      </c>
      <c r="K14" s="225">
        <f ca="1">OFFSET($I$108,MATCH($L$101,$D$109:$D$111,0),MATCH(K$6,$J$108:$L$108,0))</f>
        <v>0.69299999999999995</v>
      </c>
      <c r="L14" s="225">
        <f ca="1">OFFSET($I$108,MATCH($L$101,$D$109:$D$111,0),MATCH(L$6,$J$108:$L$108,0))</f>
        <v>0.69</v>
      </c>
      <c r="O14" s="285">
        <v>6.1099999999999995E-2</v>
      </c>
      <c r="P14" s="240" t="str">
        <v>(88.7%) / $2.42</v>
      </c>
      <c r="Q14" s="241" t="str">
        <v>(87.6%) / $2.68</v>
      </c>
      <c r="R14" s="241" t="str">
        <v>(86.4%) / $2.93</v>
      </c>
      <c r="S14" s="241" t="str">
        <v>(85.2%) / $3.18</v>
      </c>
      <c r="T14" s="244" t="str">
        <v>(84.0%) / $3.43</v>
      </c>
    </row>
    <row r="15" spans="2:20">
      <c r="D15" s="151" t="s">
        <v>51</v>
      </c>
      <c r="E15" s="40">
        <f>E9-E13</f>
        <v>1259.5</v>
      </c>
      <c r="F15" s="40">
        <f t="shared" ref="F15:L15" si="2">F9-F13</f>
        <v>1347.8000000000002</v>
      </c>
      <c r="G15" s="40">
        <f t="shared" si="2"/>
        <v>1372.0999999999995</v>
      </c>
      <c r="H15" s="40">
        <f t="shared" si="2"/>
        <v>1005.8000000000002</v>
      </c>
      <c r="I15" s="40">
        <f t="shared" si="2"/>
        <v>1114</v>
      </c>
      <c r="J15" s="40">
        <f ca="1">J9-J13</f>
        <v>1221.9990000000003</v>
      </c>
      <c r="K15" s="40">
        <f t="shared" ca="1" si="2"/>
        <v>1332.7729600000002</v>
      </c>
      <c r="L15" s="40">
        <f t="shared" ca="1" si="2"/>
        <v>1436.2892720000004</v>
      </c>
      <c r="O15" s="190"/>
      <c r="P15" s="76"/>
      <c r="Q15" s="76"/>
      <c r="R15" s="76"/>
      <c r="S15" s="76"/>
      <c r="T15" s="76"/>
    </row>
    <row r="16" spans="2:20">
      <c r="D16" s="36" t="s">
        <v>50</v>
      </c>
      <c r="E16" s="44">
        <f t="shared" ref="E16:L16" si="3">E15/E9</f>
        <v>0.24745569570513576</v>
      </c>
      <c r="F16" s="44">
        <f t="shared" si="3"/>
        <v>0.22423345034688144</v>
      </c>
      <c r="G16" s="44">
        <f t="shared" si="3"/>
        <v>0.23149210419759744</v>
      </c>
      <c r="H16" s="44">
        <f t="shared" si="3"/>
        <v>0.19075254134425734</v>
      </c>
      <c r="I16" s="44">
        <f t="shared" si="3"/>
        <v>0.2913941930421135</v>
      </c>
      <c r="J16" s="44">
        <f ca="1">J15/J9</f>
        <v>0.30300000000000005</v>
      </c>
      <c r="K16" s="44">
        <f t="shared" ca="1" si="3"/>
        <v>0.307</v>
      </c>
      <c r="L16" s="44">
        <f t="shared" ca="1" si="3"/>
        <v>0.31</v>
      </c>
    </row>
    <row r="17" spans="4:22">
      <c r="D17" s="34"/>
      <c r="E17" s="32"/>
      <c r="F17" s="32"/>
      <c r="G17" s="32"/>
      <c r="H17" s="32"/>
      <c r="I17" s="32"/>
      <c r="P17"/>
      <c r="Q17"/>
      <c r="R17"/>
      <c r="S17"/>
      <c r="T17"/>
    </row>
    <row r="18" spans="4:22">
      <c r="D18" s="43" t="s">
        <v>49</v>
      </c>
      <c r="E18" s="32">
        <v>1514.2</v>
      </c>
      <c r="F18" s="32">
        <v>1656</v>
      </c>
      <c r="G18" s="32">
        <v>1630</v>
      </c>
      <c r="H18" s="32">
        <v>1246</v>
      </c>
      <c r="I18" s="32">
        <v>1075</v>
      </c>
      <c r="J18" s="154"/>
      <c r="K18" s="154"/>
      <c r="L18" s="154"/>
      <c r="O18" s="75"/>
      <c r="P18">
        <v>4159</v>
      </c>
      <c r="Q18">
        <v>4277</v>
      </c>
      <c r="R18"/>
      <c r="S18"/>
      <c r="T18"/>
    </row>
    <row r="19" spans="4:22">
      <c r="D19" s="43" t="s">
        <v>48</v>
      </c>
      <c r="E19" s="32"/>
      <c r="F19" s="32"/>
      <c r="G19" s="32"/>
      <c r="H19" s="32"/>
      <c r="I19" s="32"/>
      <c r="J19" s="154"/>
      <c r="K19" s="154"/>
      <c r="L19" s="154"/>
      <c r="O19" s="77"/>
      <c r="P19" s="393">
        <f>(P18/I9)-1</f>
        <v>8.7889092335861951E-2</v>
      </c>
      <c r="Q19" s="393">
        <f>(Q18/P18-1)</f>
        <v>2.8372204856936811E-2</v>
      </c>
      <c r="R19"/>
      <c r="S19"/>
      <c r="T19"/>
    </row>
    <row r="20" spans="4:22">
      <c r="D20" s="34" t="s">
        <v>47</v>
      </c>
      <c r="E20" s="32">
        <f>SUM(E18:E19)</f>
        <v>1514.2</v>
      </c>
      <c r="F20" s="32">
        <f>SUM(F18:F19)</f>
        <v>1656</v>
      </c>
      <c r="G20" s="32">
        <f>SUM(G18:G19)</f>
        <v>1630</v>
      </c>
      <c r="H20" s="32">
        <f>SUM(H18:H19)</f>
        <v>1246</v>
      </c>
      <c r="I20" s="32">
        <f>SUM(I18:I19)</f>
        <v>1075</v>
      </c>
      <c r="J20" s="80">
        <f ca="1">J21*J9</f>
        <v>867.09500000000003</v>
      </c>
      <c r="K20" s="80">
        <f ca="1">K21*K9</f>
        <v>933.37520000000018</v>
      </c>
      <c r="L20" s="80">
        <f ca="1">L21*L9</f>
        <v>991.50291680000021</v>
      </c>
      <c r="O20" s="77"/>
      <c r="P20"/>
      <c r="Q20"/>
      <c r="R20"/>
      <c r="S20"/>
      <c r="T20"/>
    </row>
    <row r="21" spans="4:22">
      <c r="D21" s="36" t="s">
        <v>46</v>
      </c>
      <c r="E21" s="35">
        <f>E20/E9</f>
        <v>0.29749695469370113</v>
      </c>
      <c r="F21" s="35">
        <f>F20/F9</f>
        <v>0.27550867619412051</v>
      </c>
      <c r="G21" s="35">
        <f>G20/G9</f>
        <v>0.27500337427453098</v>
      </c>
      <c r="H21" s="35">
        <f>H20/H9</f>
        <v>0.23630708541951145</v>
      </c>
      <c r="I21" s="35">
        <f>I20/I9</f>
        <v>0.28119278053884383</v>
      </c>
      <c r="J21" s="153">
        <f ca="1">OFFSET($I$113,MATCH($L$101,$D$114:$D$116,0),MATCH(J$6,$J$113:$L$113,0))</f>
        <v>0.215</v>
      </c>
      <c r="K21" s="153">
        <f ca="1">OFFSET($I$113,MATCH($L$101,$D$114:$D$116,0),MATCH(K$6,$J$113:$L$113,0))</f>
        <v>0.215</v>
      </c>
      <c r="L21" s="153">
        <f ca="1">OFFSET($I$113,MATCH($L$101,$D$114:$D$116,0),MATCH(L$6,$J$113:$L$113,0))</f>
        <v>0.214</v>
      </c>
      <c r="O21" s="77"/>
      <c r="P21"/>
      <c r="Q21"/>
      <c r="R21"/>
      <c r="S21"/>
      <c r="T21"/>
    </row>
    <row r="22" spans="4:22">
      <c r="D22" s="151" t="s">
        <v>45</v>
      </c>
      <c r="E22" s="40">
        <f>E15-E20</f>
        <v>-254.70000000000005</v>
      </c>
      <c r="F22" s="40">
        <f t="shared" ref="F22:L22" si="4">F15-F20</f>
        <v>-308.19999999999982</v>
      </c>
      <c r="G22" s="40">
        <f t="shared" si="4"/>
        <v>-257.90000000000055</v>
      </c>
      <c r="H22" s="40">
        <f t="shared" si="4"/>
        <v>-240.19999999999982</v>
      </c>
      <c r="I22" s="40">
        <f t="shared" si="4"/>
        <v>39</v>
      </c>
      <c r="J22" s="40">
        <f t="shared" ca="1" si="4"/>
        <v>354.90400000000022</v>
      </c>
      <c r="K22" s="40">
        <f t="shared" ca="1" si="4"/>
        <v>399.39776000000006</v>
      </c>
      <c r="L22" s="40">
        <f t="shared" ca="1" si="4"/>
        <v>444.78635520000023</v>
      </c>
      <c r="O22" s="77"/>
      <c r="P22"/>
      <c r="Q22"/>
      <c r="R22"/>
      <c r="S22"/>
      <c r="T22"/>
    </row>
    <row r="23" spans="4:22">
      <c r="D23" s="36" t="s">
        <v>44</v>
      </c>
      <c r="E23" s="35">
        <f t="shared" ref="E23:L23" si="5">E22/E9</f>
        <v>-5.0041258988565374E-2</v>
      </c>
      <c r="F23" s="35">
        <f t="shared" si="5"/>
        <v>-5.1275225847239064E-2</v>
      </c>
      <c r="G23" s="35">
        <f t="shared" si="5"/>
        <v>-4.3511270076933554E-2</v>
      </c>
      <c r="H23" s="35">
        <f t="shared" si="5"/>
        <v>-4.5554544075254097E-2</v>
      </c>
      <c r="I23" s="35">
        <f t="shared" si="5"/>
        <v>1.0201412503269683E-2</v>
      </c>
      <c r="J23" s="35">
        <f ca="1">J22/J9</f>
        <v>8.800000000000005E-2</v>
      </c>
      <c r="K23" s="35">
        <f t="shared" ca="1" si="5"/>
        <v>9.1999999999999998E-2</v>
      </c>
      <c r="L23" s="35">
        <f t="shared" ca="1" si="5"/>
        <v>9.600000000000003E-2</v>
      </c>
      <c r="O23" s="77"/>
      <c r="P23"/>
      <c r="Q23"/>
      <c r="R23"/>
      <c r="S23"/>
      <c r="T23"/>
    </row>
    <row r="24" spans="4:22">
      <c r="D24" s="34"/>
      <c r="E24" s="32"/>
      <c r="F24" s="32"/>
      <c r="G24" s="32"/>
      <c r="H24" s="32"/>
      <c r="I24" s="32"/>
      <c r="J24" s="218"/>
      <c r="K24" s="218"/>
      <c r="L24" s="218"/>
      <c r="S24" s="386"/>
    </row>
    <row r="25" spans="4:22">
      <c r="D25" s="34" t="s">
        <v>43</v>
      </c>
      <c r="E25" s="32">
        <v>-27.2</v>
      </c>
      <c r="F25" s="32">
        <v>-32.1</v>
      </c>
      <c r="G25" s="32">
        <v>-26.9</v>
      </c>
      <c r="H25" s="32">
        <v>9.5</v>
      </c>
      <c r="I25" s="32">
        <v>49.5</v>
      </c>
      <c r="J25" s="42">
        <f>J76*J73</f>
        <v>0.26400000000000001</v>
      </c>
      <c r="K25" s="42">
        <f t="shared" ref="K25:L25" si="6">K76*K73</f>
        <v>0.26400000000000001</v>
      </c>
      <c r="L25" s="42">
        <f t="shared" si="6"/>
        <v>0.26400000000000001</v>
      </c>
    </row>
    <row r="26" spans="4:22">
      <c r="D26" s="34" t="s">
        <v>42</v>
      </c>
      <c r="E26" s="32"/>
      <c r="F26" s="32"/>
      <c r="G26" s="32"/>
      <c r="H26" s="32"/>
      <c r="I26" s="32"/>
      <c r="J26" s="154"/>
      <c r="K26" s="154"/>
      <c r="L26" s="154"/>
    </row>
    <row r="27" spans="4:22">
      <c r="D27" s="151" t="s">
        <v>41</v>
      </c>
      <c r="E27" s="40">
        <f t="shared" ref="E27:L27" si="7">E22-E25-E26</f>
        <v>-227.50000000000006</v>
      </c>
      <c r="F27" s="40">
        <f t="shared" si="7"/>
        <v>-276.0999999999998</v>
      </c>
      <c r="G27" s="40">
        <f t="shared" si="7"/>
        <v>-231.00000000000054</v>
      </c>
      <c r="H27" s="40">
        <f t="shared" si="7"/>
        <v>-249.69999999999982</v>
      </c>
      <c r="I27" s="40">
        <f t="shared" si="7"/>
        <v>-10.5</v>
      </c>
      <c r="J27" s="40">
        <f t="shared" ca="1" si="7"/>
        <v>354.64000000000021</v>
      </c>
      <c r="K27" s="40">
        <f t="shared" ca="1" si="7"/>
        <v>399.13376000000005</v>
      </c>
      <c r="L27" s="40">
        <f t="shared" ca="1" si="7"/>
        <v>444.52235520000022</v>
      </c>
    </row>
    <row r="28" spans="4:22">
      <c r="D28" s="34"/>
      <c r="E28" s="32"/>
      <c r="F28" s="32"/>
      <c r="G28" s="32"/>
      <c r="H28" s="32"/>
      <c r="I28" s="32"/>
    </row>
    <row r="29" spans="4:22">
      <c r="D29" s="34" t="s">
        <v>40</v>
      </c>
      <c r="E29" s="32">
        <v>-55</v>
      </c>
      <c r="F29" s="32">
        <v>-14</v>
      </c>
      <c r="G29" s="32">
        <v>11</v>
      </c>
      <c r="H29" s="32">
        <v>6</v>
      </c>
      <c r="I29" s="32">
        <v>6</v>
      </c>
      <c r="J29" s="39">
        <f ca="1">J30*J27</f>
        <v>7.092800000000004</v>
      </c>
      <c r="K29" s="39">
        <f ca="1">K30*K27</f>
        <v>11.974012800000001</v>
      </c>
      <c r="L29" s="39">
        <f ca="1">L30*L27</f>
        <v>15.558282432000009</v>
      </c>
      <c r="P29"/>
      <c r="Q29"/>
      <c r="R29"/>
      <c r="S29"/>
      <c r="T29"/>
      <c r="U29"/>
      <c r="V29"/>
    </row>
    <row r="30" spans="4:22">
      <c r="D30" s="36" t="s">
        <v>39</v>
      </c>
      <c r="E30" s="35">
        <f>E29/E27</f>
        <v>0.2417582417582417</v>
      </c>
      <c r="F30" s="35">
        <f>F29/F27</f>
        <v>5.0706265845708115E-2</v>
      </c>
      <c r="G30" s="35">
        <f>G29/G27</f>
        <v>-4.7619047619047505E-2</v>
      </c>
      <c r="H30" s="35">
        <f>H29/H27</f>
        <v>-2.4028834601521845E-2</v>
      </c>
      <c r="I30" s="35">
        <f>I29/I27</f>
        <v>-0.5714285714285714</v>
      </c>
      <c r="J30" s="272">
        <v>0.02</v>
      </c>
      <c r="K30" s="272">
        <v>0.03</v>
      </c>
      <c r="L30" s="272">
        <v>3.5000000000000003E-2</v>
      </c>
      <c r="P30"/>
      <c r="Q30"/>
      <c r="R30"/>
      <c r="S30"/>
      <c r="T30"/>
      <c r="U30"/>
      <c r="V30"/>
    </row>
    <row r="31" spans="4:22" ht="17" thickBot="1">
      <c r="D31" s="152" t="s">
        <v>20</v>
      </c>
      <c r="E31" s="37">
        <f t="shared" ref="E31:L31" si="8">E27-E29</f>
        <v>-172.50000000000006</v>
      </c>
      <c r="F31" s="37">
        <f t="shared" si="8"/>
        <v>-262.0999999999998</v>
      </c>
      <c r="G31" s="37">
        <f t="shared" si="8"/>
        <v>-242.00000000000054</v>
      </c>
      <c r="H31" s="37">
        <f t="shared" si="8"/>
        <v>-255.69999999999982</v>
      </c>
      <c r="I31" s="37">
        <f t="shared" si="8"/>
        <v>-16.5</v>
      </c>
      <c r="J31" s="37">
        <f t="shared" ca="1" si="8"/>
        <v>347.5472000000002</v>
      </c>
      <c r="K31" s="37">
        <f t="shared" ca="1" si="8"/>
        <v>387.15974720000003</v>
      </c>
      <c r="L31" s="37">
        <f t="shared" ca="1" si="8"/>
        <v>428.96407276800022</v>
      </c>
      <c r="O31" s="8"/>
      <c r="P31"/>
      <c r="Q31"/>
      <c r="R31"/>
      <c r="S31"/>
      <c r="T31"/>
      <c r="U31"/>
      <c r="V31"/>
    </row>
    <row r="32" spans="4:22" ht="17" thickTop="1">
      <c r="D32" s="36" t="s">
        <v>38</v>
      </c>
      <c r="E32" s="35">
        <f t="shared" ref="E32:L32" si="9">E31/E9</f>
        <v>-3.3891312035836389E-2</v>
      </c>
      <c r="F32" s="35">
        <f t="shared" si="9"/>
        <v>-4.3605570066714325E-2</v>
      </c>
      <c r="G32" s="35">
        <f t="shared" si="9"/>
        <v>-4.0828721824807762E-2</v>
      </c>
      <c r="H32" s="35">
        <f t="shared" si="9"/>
        <v>-4.8494158701259255E-2</v>
      </c>
      <c r="I32" s="35">
        <f t="shared" si="9"/>
        <v>-4.315982212921789E-3</v>
      </c>
      <c r="J32" s="35">
        <f t="shared" ca="1" si="9"/>
        <v>8.6175849243739208E-2</v>
      </c>
      <c r="K32" s="35">
        <f t="shared" ca="1" si="9"/>
        <v>8.9181012788854888E-2</v>
      </c>
      <c r="L32" s="35">
        <f t="shared" ca="1" si="9"/>
        <v>9.2585014140577696E-2</v>
      </c>
      <c r="O32" s="8"/>
      <c r="P32"/>
      <c r="Q32"/>
      <c r="R32"/>
      <c r="S32"/>
      <c r="T32"/>
      <c r="U32"/>
      <c r="V32"/>
    </row>
    <row r="33" spans="3:22">
      <c r="D33" s="34"/>
      <c r="E33" s="32"/>
      <c r="F33" s="32"/>
      <c r="G33" s="32"/>
      <c r="H33" s="32"/>
      <c r="I33" s="32"/>
      <c r="O33" s="7"/>
      <c r="P33"/>
      <c r="Q33"/>
      <c r="R33" t="s">
        <v>261</v>
      </c>
      <c r="S33"/>
      <c r="T33"/>
      <c r="U33"/>
      <c r="V33"/>
    </row>
    <row r="34" spans="3:22" s="8" customFormat="1" ht="16" customHeight="1">
      <c r="C34" s="219"/>
      <c r="D34" s="33" t="s">
        <v>37</v>
      </c>
      <c r="E34" s="387">
        <v>261.2</v>
      </c>
      <c r="F34" s="387">
        <v>303.60000000000002</v>
      </c>
      <c r="G34" s="387">
        <v>304.60000000000002</v>
      </c>
      <c r="H34" s="387">
        <v>305.7</v>
      </c>
      <c r="I34" s="387">
        <v>447</v>
      </c>
      <c r="J34" s="387">
        <f>I34+J35</f>
        <v>447</v>
      </c>
      <c r="K34" s="387">
        <f>J34+K35</f>
        <v>447</v>
      </c>
      <c r="L34" s="387">
        <f>K34+L35</f>
        <v>447</v>
      </c>
      <c r="O34" s="7"/>
      <c r="P34"/>
      <c r="Q34"/>
      <c r="R34" t="s">
        <v>262</v>
      </c>
      <c r="S34"/>
      <c r="T34"/>
      <c r="U34"/>
      <c r="V34"/>
    </row>
    <row r="35" spans="3:22" s="8" customFormat="1" ht="16" customHeight="1">
      <c r="C35" s="219"/>
      <c r="D35" s="8" t="s">
        <v>36</v>
      </c>
      <c r="F35" s="31">
        <f>F34-E34</f>
        <v>42.400000000000034</v>
      </c>
      <c r="G35" s="31">
        <f>G34-F34</f>
        <v>1</v>
      </c>
      <c r="H35" s="31">
        <f>H34-G34</f>
        <v>1.0999999999999659</v>
      </c>
      <c r="I35" s="31">
        <f>I34-H34</f>
        <v>141.30000000000001</v>
      </c>
      <c r="J35" s="284">
        <v>0</v>
      </c>
      <c r="K35" s="284">
        <v>0</v>
      </c>
      <c r="L35" s="284">
        <v>0</v>
      </c>
      <c r="O35" s="2"/>
      <c r="P35"/>
      <c r="Q35"/>
      <c r="R35" t="s">
        <v>263</v>
      </c>
      <c r="S35"/>
      <c r="T35"/>
      <c r="U35"/>
      <c r="V35"/>
    </row>
    <row r="36" spans="3:22" s="7" customFormat="1" ht="16" customHeight="1">
      <c r="C36" s="220"/>
      <c r="D36" s="7" t="s">
        <v>151</v>
      </c>
      <c r="E36" s="201">
        <f>E31/E34</f>
        <v>-0.66041347626339997</v>
      </c>
      <c r="F36" s="201">
        <f t="shared" ref="F36:L36" si="10">F31/F34</f>
        <v>-0.86330698287219954</v>
      </c>
      <c r="G36" s="201">
        <f>G31/G34</f>
        <v>-0.79448456992777583</v>
      </c>
      <c r="H36" s="201">
        <f t="shared" si="10"/>
        <v>-0.8364409551848212</v>
      </c>
      <c r="I36" s="201">
        <f>I31/I34</f>
        <v>-3.6912751677852351E-2</v>
      </c>
      <c r="J36" s="201">
        <f ca="1">J31/J34</f>
        <v>0.77751051454138753</v>
      </c>
      <c r="K36" s="201">
        <f t="shared" ca="1" si="10"/>
        <v>0.86612918836689046</v>
      </c>
      <c r="L36" s="201">
        <f t="shared" ca="1" si="10"/>
        <v>0.95965116950335616</v>
      </c>
      <c r="O36" s="2"/>
      <c r="P36"/>
      <c r="Q36"/>
      <c r="R36"/>
      <c r="S36"/>
      <c r="T36"/>
      <c r="U36"/>
      <c r="V36"/>
    </row>
    <row r="37" spans="3:22" s="7" customFormat="1" ht="16" customHeight="1">
      <c r="C37" s="220"/>
      <c r="D37" s="28" t="s">
        <v>35</v>
      </c>
      <c r="E37" s="22"/>
      <c r="F37" s="22">
        <f t="shared" ref="F37:L39" si="11">(F36-E36)/E36</f>
        <v>0.30722193580416479</v>
      </c>
      <c r="G37" s="22">
        <f t="shared" si="11"/>
        <v>-7.9719513811244008E-2</v>
      </c>
      <c r="H37" s="22">
        <f t="shared" si="11"/>
        <v>5.2809565906181785E-2</v>
      </c>
      <c r="I37" s="22">
        <f t="shared" si="11"/>
        <v>-0.95586926793930593</v>
      </c>
      <c r="J37" s="22">
        <f t="shared" ca="1" si="11"/>
        <v>-22.063466666666677</v>
      </c>
      <c r="K37" s="22">
        <f t="shared" ca="1" si="11"/>
        <v>0.11397746032769011</v>
      </c>
      <c r="L37" s="22">
        <f t="shared" ca="1" si="11"/>
        <v>0.10797694199961541</v>
      </c>
      <c r="O37" s="2"/>
      <c r="P37"/>
      <c r="Q37"/>
      <c r="R37"/>
      <c r="S37"/>
      <c r="T37"/>
      <c r="U37"/>
      <c r="V37"/>
    </row>
    <row r="38" spans="3:22" s="7" customFormat="1" ht="16" customHeight="1">
      <c r="C38" s="220"/>
      <c r="D38" s="2" t="s">
        <v>193</v>
      </c>
      <c r="E38" s="391">
        <v>4.7089999999999996</v>
      </c>
      <c r="F38" s="391">
        <v>2.153</v>
      </c>
      <c r="G38" s="391">
        <v>3.8130000000000002</v>
      </c>
      <c r="H38" s="391">
        <v>1.03</v>
      </c>
      <c r="I38" s="391">
        <v>0.02</v>
      </c>
      <c r="J38" s="380">
        <v>0.33</v>
      </c>
      <c r="K38" s="380">
        <v>0.75</v>
      </c>
      <c r="L38" s="380">
        <v>0.36</v>
      </c>
      <c r="O38" s="2"/>
      <c r="P38"/>
      <c r="Q38"/>
      <c r="R38"/>
      <c r="S38"/>
      <c r="T38"/>
      <c r="U38"/>
      <c r="V38"/>
    </row>
    <row r="39" spans="3:22" s="7" customFormat="1" ht="16" customHeight="1">
      <c r="C39" s="220"/>
      <c r="D39" s="379" t="s">
        <v>194</v>
      </c>
      <c r="E39" s="22"/>
      <c r="F39" s="22">
        <f t="shared" ref="F39" si="12">(F38-E38)/E38</f>
        <v>-0.54279040135909951</v>
      </c>
      <c r="G39" s="22">
        <f t="shared" ref="G39" si="13">(G38-F38)/F38</f>
        <v>0.7710171853228055</v>
      </c>
      <c r="H39" s="22">
        <f t="shared" ref="H39" si="14">(H38-G38)/G38</f>
        <v>-0.72987149226330983</v>
      </c>
      <c r="I39" s="22">
        <f t="shared" ref="I39" si="15">(I38-H38)/H38</f>
        <v>-0.98058252427184467</v>
      </c>
      <c r="J39" s="22">
        <f t="shared" si="11"/>
        <v>15.5</v>
      </c>
      <c r="K39" s="22">
        <f t="shared" ref="K39" si="16">(K38-J38)/J38</f>
        <v>1.2727272727272727</v>
      </c>
      <c r="L39" s="22">
        <f t="shared" ref="L39" si="17">(L38-K38)/K38</f>
        <v>-0.52</v>
      </c>
      <c r="O39" s="2"/>
      <c r="P39"/>
      <c r="Q39"/>
      <c r="R39"/>
      <c r="S39"/>
      <c r="T39"/>
      <c r="U39"/>
      <c r="V39"/>
    </row>
    <row r="40" spans="3:22" s="2" customFormat="1" ht="16" customHeight="1">
      <c r="C40" s="11"/>
      <c r="D40" s="197" t="s">
        <v>140</v>
      </c>
      <c r="E40" s="198"/>
      <c r="F40" s="198"/>
      <c r="G40" s="198"/>
      <c r="H40" s="198"/>
      <c r="I40" s="198"/>
      <c r="J40" s="273">
        <v>7.4999999999999997E-2</v>
      </c>
      <c r="K40" s="273">
        <v>0.36</v>
      </c>
      <c r="L40" s="274">
        <v>0.4</v>
      </c>
      <c r="P40"/>
      <c r="Q40"/>
      <c r="R40"/>
      <c r="S40"/>
      <c r="T40"/>
      <c r="U40"/>
      <c r="V40"/>
    </row>
    <row r="41" spans="3:22" s="2" customFormat="1" ht="16" customHeight="1">
      <c r="C41" s="11"/>
      <c r="D41" s="199" t="s">
        <v>141</v>
      </c>
      <c r="E41" s="200"/>
      <c r="F41" s="200"/>
      <c r="G41" s="200"/>
      <c r="H41" s="200"/>
      <c r="I41" s="200"/>
      <c r="J41" s="275">
        <v>0.75</v>
      </c>
      <c r="K41" s="275">
        <v>0.36</v>
      </c>
      <c r="L41" s="276" t="s">
        <v>240</v>
      </c>
      <c r="P41"/>
      <c r="Q41"/>
      <c r="R41"/>
      <c r="S41"/>
      <c r="T41"/>
      <c r="U41"/>
      <c r="V41"/>
    </row>
    <row r="42" spans="3:22" s="2" customFormat="1" ht="16" customHeight="1">
      <c r="C42" s="11"/>
      <c r="D42" s="28"/>
      <c r="E42" s="22"/>
      <c r="F42" s="22"/>
      <c r="G42" s="22"/>
      <c r="H42" s="22"/>
      <c r="I42" s="22"/>
      <c r="J42" s="22"/>
      <c r="K42" s="22"/>
      <c r="L42" s="22"/>
      <c r="P42"/>
      <c r="Q42"/>
      <c r="R42"/>
      <c r="S42"/>
      <c r="T42"/>
      <c r="U42"/>
      <c r="V42"/>
    </row>
    <row r="43" spans="3:22" s="2" customFormat="1" ht="16" customHeight="1">
      <c r="C43" s="11"/>
      <c r="D43" s="28"/>
      <c r="E43" s="22"/>
      <c r="F43" s="22"/>
      <c r="G43" s="22"/>
      <c r="H43" s="22"/>
      <c r="I43" s="22"/>
      <c r="J43" s="22"/>
      <c r="K43" s="22"/>
      <c r="L43" s="22"/>
      <c r="O43" s="23"/>
      <c r="P43"/>
      <c r="Q43"/>
      <c r="R43"/>
      <c r="S43"/>
      <c r="T43"/>
      <c r="U43"/>
      <c r="V43"/>
    </row>
    <row r="44" spans="3:22" s="2" customFormat="1" ht="16" customHeight="1">
      <c r="C44" s="11"/>
      <c r="D44" s="385" t="s">
        <v>34</v>
      </c>
      <c r="E44" s="29">
        <f>E22+E62</f>
        <v>-174.00000000000006</v>
      </c>
      <c r="F44" s="29">
        <f t="shared" ref="F44:I44" si="18">F22+F62</f>
        <v>-230.99999999999983</v>
      </c>
      <c r="G44" s="29">
        <f t="shared" si="18"/>
        <v>-196.20000000000056</v>
      </c>
      <c r="H44" s="29">
        <f t="shared" si="18"/>
        <v>-181.19999999999982</v>
      </c>
      <c r="I44" s="29">
        <f t="shared" si="18"/>
        <v>78</v>
      </c>
      <c r="J44" s="29">
        <f ca="1">J22+J62</f>
        <v>395.23400000000021</v>
      </c>
      <c r="K44" s="29">
        <f ca="1">K22+K62</f>
        <v>447.15184000000005</v>
      </c>
      <c r="L44" s="29">
        <f ca="1">L22+L62</f>
        <v>500.38464960000022</v>
      </c>
      <c r="O44" s="195"/>
      <c r="P44"/>
      <c r="Q44"/>
      <c r="R44"/>
      <c r="S44"/>
      <c r="T44"/>
      <c r="U44"/>
      <c r="V44"/>
    </row>
    <row r="45" spans="3:22" s="2" customFormat="1" ht="16" customHeight="1">
      <c r="C45" s="11"/>
      <c r="D45" s="28" t="s">
        <v>123</v>
      </c>
      <c r="E45" s="147">
        <f t="shared" ref="E45:L45" si="19">E44/E9</f>
        <v>-3.4186019097017573E-2</v>
      </c>
      <c r="F45" s="147">
        <f t="shared" si="19"/>
        <v>-3.8431463889397215E-2</v>
      </c>
      <c r="G45" s="147">
        <f t="shared" si="19"/>
        <v>-3.3101633148873086E-2</v>
      </c>
      <c r="H45" s="147">
        <f t="shared" si="19"/>
        <v>-3.436504324078285E-2</v>
      </c>
      <c r="I45" s="147">
        <f t="shared" si="19"/>
        <v>2.0402825006539366E-2</v>
      </c>
      <c r="J45" s="147">
        <f t="shared" ca="1" si="19"/>
        <v>9.8000000000000045E-2</v>
      </c>
      <c r="K45" s="147">
        <f t="shared" ca="1" si="19"/>
        <v>0.10299999999999999</v>
      </c>
      <c r="L45" s="147">
        <f t="shared" ca="1" si="19"/>
        <v>0.10800000000000003</v>
      </c>
      <c r="O45" s="196"/>
      <c r="P45"/>
      <c r="Q45"/>
      <c r="R45"/>
      <c r="S45"/>
      <c r="T45"/>
      <c r="U45"/>
      <c r="V45"/>
    </row>
    <row r="46" spans="3:22" s="2" customFormat="1" ht="16" customHeight="1">
      <c r="C46" s="11"/>
      <c r="D46" s="28"/>
      <c r="E46" s="22"/>
      <c r="F46" s="22"/>
      <c r="G46" s="22"/>
      <c r="H46" s="22"/>
      <c r="J46" s="256"/>
      <c r="K46" s="256"/>
      <c r="L46" s="256"/>
      <c r="P46"/>
      <c r="Q46"/>
      <c r="R46"/>
      <c r="S46"/>
      <c r="T46"/>
      <c r="U46"/>
      <c r="V46"/>
    </row>
    <row r="47" spans="3:22" s="2" customFormat="1" ht="16" customHeight="1">
      <c r="C47" s="11"/>
      <c r="D47" s="2" t="s">
        <v>195</v>
      </c>
      <c r="E47" s="381">
        <v>166.8</v>
      </c>
      <c r="F47" s="381">
        <v>-149.4</v>
      </c>
      <c r="G47" s="381">
        <v>-236.9</v>
      </c>
      <c r="H47" s="381">
        <v>-192.7</v>
      </c>
      <c r="I47" s="381">
        <v>64.7</v>
      </c>
      <c r="J47" s="381">
        <f>E47+F47+G47+H47+I47/5</f>
        <v>-399.26</v>
      </c>
      <c r="K47" s="381">
        <f t="shared" ref="K47:L47" si="20">F47+G47+H47+I47+J47/5</f>
        <v>-594.15199999999993</v>
      </c>
      <c r="L47" s="381">
        <f t="shared" si="20"/>
        <v>-882.99040000000002</v>
      </c>
      <c r="P47"/>
      <c r="Q47"/>
      <c r="R47"/>
      <c r="S47"/>
      <c r="T47"/>
      <c r="U47"/>
      <c r="V47"/>
    </row>
    <row r="48" spans="3:22" s="2" customFormat="1" ht="16" customHeight="1">
      <c r="C48" s="11"/>
      <c r="D48" s="385" t="s">
        <v>196</v>
      </c>
      <c r="E48" s="29">
        <f>E44+E47</f>
        <v>-7.2000000000000455</v>
      </c>
      <c r="F48" s="29">
        <f t="shared" ref="F48:I48" si="21">F44+F47</f>
        <v>-380.39999999999986</v>
      </c>
      <c r="G48" s="29">
        <f t="shared" si="21"/>
        <v>-433.10000000000059</v>
      </c>
      <c r="H48" s="29">
        <f t="shared" si="21"/>
        <v>-373.89999999999981</v>
      </c>
      <c r="I48" s="29">
        <f t="shared" si="21"/>
        <v>142.69999999999999</v>
      </c>
      <c r="J48" s="29">
        <f t="shared" ref="J48:L48" ca="1" si="22">J44+J47</f>
        <v>-4.0259999999997831</v>
      </c>
      <c r="K48" s="29">
        <f t="shared" ca="1" si="22"/>
        <v>-147.00015999999988</v>
      </c>
      <c r="L48" s="29">
        <f t="shared" ca="1" si="22"/>
        <v>-382.60575039999981</v>
      </c>
      <c r="P48"/>
      <c r="Q48"/>
      <c r="R48"/>
      <c r="S48"/>
      <c r="T48"/>
      <c r="U48"/>
      <c r="V48"/>
    </row>
    <row r="49" spans="2:22" s="2" customFormat="1" ht="16" customHeight="1">
      <c r="C49" s="11"/>
      <c r="D49" s="28" t="s">
        <v>202</v>
      </c>
      <c r="E49" s="22">
        <f>E48/E9</f>
        <v>-1.4145938936697012E-3</v>
      </c>
      <c r="F49" s="22">
        <f t="shared" ref="F49:L49" si="23">F48/F9</f>
        <v>-6.3287137937345042E-2</v>
      </c>
      <c r="G49" s="22">
        <f t="shared" si="23"/>
        <v>-7.3069914968281927E-2</v>
      </c>
      <c r="H49" s="22">
        <f t="shared" si="23"/>
        <v>-7.0911090881505046E-2</v>
      </c>
      <c r="I49" s="22">
        <f>I48/I9</f>
        <v>3.7326706774784196E-2</v>
      </c>
      <c r="J49" s="22">
        <f t="shared" ca="1" si="23"/>
        <v>-9.9826431936518296E-4</v>
      </c>
      <c r="K49" s="22">
        <f ca="1">K48/K9</f>
        <v>-3.3861017948623416E-2</v>
      </c>
      <c r="L49" s="22">
        <f t="shared" ca="1" si="23"/>
        <v>-8.2579313886290667E-2</v>
      </c>
      <c r="P49"/>
      <c r="Q49"/>
      <c r="R49"/>
      <c r="S49"/>
      <c r="T49"/>
      <c r="U49"/>
      <c r="V49"/>
    </row>
    <row r="50" spans="2:22" s="2" customFormat="1" ht="16" customHeight="1">
      <c r="C50" s="11"/>
      <c r="D50" s="28"/>
      <c r="E50" s="22"/>
      <c r="F50" s="22"/>
      <c r="G50" s="22"/>
      <c r="H50" s="22"/>
      <c r="I50" s="22"/>
      <c r="J50" s="22"/>
      <c r="K50" s="22"/>
      <c r="L50" s="22"/>
      <c r="P50"/>
      <c r="Q50"/>
      <c r="R50"/>
      <c r="S50"/>
      <c r="T50"/>
      <c r="U50"/>
      <c r="V50"/>
    </row>
    <row r="51" spans="2:22" s="2" customFormat="1" ht="16" customHeight="1">
      <c r="C51" s="11"/>
      <c r="D51" s="382" t="s">
        <v>203</v>
      </c>
      <c r="E51" s="383"/>
      <c r="F51" s="383"/>
      <c r="G51" s="383"/>
      <c r="H51" s="383"/>
      <c r="I51" s="384"/>
      <c r="J51" s="396" t="s">
        <v>260</v>
      </c>
      <c r="K51" s="396"/>
      <c r="L51" s="397"/>
      <c r="P51"/>
      <c r="Q51"/>
      <c r="R51"/>
      <c r="S51"/>
      <c r="T51"/>
      <c r="U51"/>
      <c r="V51"/>
    </row>
    <row r="52" spans="2:22" s="2" customFormat="1" ht="16" customHeight="1">
      <c r="C52" s="11"/>
      <c r="D52" s="28"/>
      <c r="E52" s="22"/>
      <c r="F52" s="22"/>
      <c r="G52" s="22"/>
      <c r="H52" s="22"/>
      <c r="I52" s="22"/>
      <c r="J52" s="22"/>
      <c r="K52" s="27"/>
      <c r="L52" s="27"/>
      <c r="O52" s="13"/>
      <c r="P52"/>
      <c r="Q52"/>
      <c r="R52"/>
      <c r="S52"/>
      <c r="T52"/>
      <c r="U52"/>
      <c r="V52"/>
    </row>
    <row r="53" spans="2:22" s="2" customFormat="1" ht="16" customHeight="1">
      <c r="C53" s="11"/>
      <c r="D53" s="30" t="s">
        <v>127</v>
      </c>
      <c r="E53" s="156">
        <f t="shared" ref="E53:L53" si="24">E86-E25</f>
        <v>-145.22417582417586</v>
      </c>
      <c r="F53" s="156">
        <f>F86-F25</f>
        <v>-416.87232886635252</v>
      </c>
      <c r="G53" s="156">
        <f t="shared" si="24"/>
        <v>10.219047619047068</v>
      </c>
      <c r="H53" s="156">
        <f t="shared" si="24"/>
        <v>-368.57172607128535</v>
      </c>
      <c r="I53" s="156">
        <f t="shared" si="24"/>
        <v>71.185714285714283</v>
      </c>
      <c r="J53" s="156">
        <f t="shared" ca="1" si="24"/>
        <v>347.54192000000018</v>
      </c>
      <c r="K53" s="156">
        <f t="shared" ca="1" si="24"/>
        <v>391.49310720000005</v>
      </c>
      <c r="L53" s="156">
        <f t="shared" ca="1" si="24"/>
        <v>438.22121516800019</v>
      </c>
      <c r="O53" s="13"/>
      <c r="P53"/>
      <c r="Q53"/>
      <c r="R53"/>
      <c r="S53"/>
      <c r="T53"/>
      <c r="U53"/>
      <c r="V53"/>
    </row>
    <row r="54" spans="2:22" s="2" customFormat="1" ht="16" customHeight="1">
      <c r="C54" s="11"/>
      <c r="D54" s="28"/>
      <c r="E54" s="22"/>
      <c r="F54" s="22"/>
      <c r="G54" s="22"/>
      <c r="H54" s="22"/>
      <c r="I54" s="22"/>
      <c r="J54" s="22"/>
      <c r="K54" s="27"/>
      <c r="L54" s="27"/>
      <c r="O54" s="13"/>
      <c r="P54"/>
      <c r="Q54"/>
      <c r="R54"/>
      <c r="S54"/>
      <c r="T54"/>
      <c r="U54"/>
      <c r="V54"/>
    </row>
    <row r="55" spans="2:22" s="13" customFormat="1" ht="16" customHeight="1">
      <c r="C55" s="221"/>
      <c r="D55" s="22" t="s">
        <v>33</v>
      </c>
      <c r="E55" s="26">
        <f t="shared" ref="E55:L55" si="25">E53/E34</f>
        <v>-0.5559884219914849</v>
      </c>
      <c r="F55" s="26">
        <f t="shared" si="25"/>
        <v>-1.3730972624056406</v>
      </c>
      <c r="G55" s="26">
        <f t="shared" si="25"/>
        <v>3.3549072945000216E-2</v>
      </c>
      <c r="H55" s="26">
        <f t="shared" si="25"/>
        <v>-1.2056647892420196</v>
      </c>
      <c r="I55" s="26">
        <f t="shared" si="25"/>
        <v>0.15925215723873443</v>
      </c>
      <c r="J55" s="26">
        <f t="shared" ca="1" si="25"/>
        <v>0.77749870246085051</v>
      </c>
      <c r="K55" s="26">
        <f t="shared" ca="1" si="25"/>
        <v>0.8758235060402686</v>
      </c>
      <c r="L55" s="26">
        <f t="shared" ca="1" si="25"/>
        <v>0.98036066033109659</v>
      </c>
      <c r="P55"/>
      <c r="Q55"/>
      <c r="R55"/>
      <c r="S55"/>
      <c r="T55"/>
      <c r="U55"/>
      <c r="V55"/>
    </row>
    <row r="56" spans="2:22" s="13" customFormat="1" ht="16" customHeight="1">
      <c r="C56" s="221"/>
      <c r="D56" s="22" t="s">
        <v>32</v>
      </c>
      <c r="E56" s="22"/>
      <c r="F56" s="22">
        <f t="shared" ref="F56:L56" si="26">(F55-E55)/E55</f>
        <v>1.4696508202227814</v>
      </c>
      <c r="G56" s="22">
        <f>(G55-F55)/F55</f>
        <v>-1.0244331365763726</v>
      </c>
      <c r="H56" s="22">
        <f t="shared" si="26"/>
        <v>-36.937350376821627</v>
      </c>
      <c r="I56" s="22">
        <f t="shared" si="26"/>
        <v>-1.1320865954282811</v>
      </c>
      <c r="J56" s="22">
        <f t="shared" ca="1" si="26"/>
        <v>3.8821863134657861</v>
      </c>
      <c r="K56" s="22">
        <f t="shared" ca="1" si="26"/>
        <v>0.12646298092615665</v>
      </c>
      <c r="L56" s="22">
        <f t="shared" ca="1" si="26"/>
        <v>0.11935869906421716</v>
      </c>
      <c r="P56"/>
      <c r="Q56"/>
      <c r="R56"/>
      <c r="S56"/>
      <c r="T56"/>
      <c r="U56"/>
      <c r="V56"/>
    </row>
    <row r="57" spans="2:22" s="13" customFormat="1" ht="16" customHeight="1">
      <c r="C57" s="221"/>
      <c r="D57" s="22" t="s">
        <v>31</v>
      </c>
      <c r="E57" s="22"/>
      <c r="F57" s="22"/>
      <c r="G57" s="22"/>
      <c r="H57" s="22"/>
      <c r="I57" s="22"/>
      <c r="J57" s="394" t="s">
        <v>259</v>
      </c>
      <c r="K57" s="394"/>
      <c r="L57" s="394"/>
      <c r="O57" s="23"/>
      <c r="P57" s="23"/>
      <c r="Q57" s="23"/>
      <c r="R57" s="23"/>
      <c r="S57" s="23"/>
      <c r="T57" s="23"/>
    </row>
    <row r="58" spans="2:22" s="13" customFormat="1" ht="8" customHeight="1">
      <c r="C58" s="221"/>
      <c r="D58" s="22"/>
      <c r="E58" s="22"/>
      <c r="F58" s="22"/>
      <c r="G58" s="22"/>
      <c r="H58" s="22"/>
      <c r="I58" s="22"/>
      <c r="J58" s="257"/>
      <c r="K58" s="257"/>
      <c r="L58" s="257"/>
      <c r="O58" s="23"/>
      <c r="P58" s="23"/>
      <c r="Q58" s="23"/>
      <c r="R58" s="23"/>
      <c r="S58" s="23"/>
      <c r="T58" s="23"/>
    </row>
    <row r="59" spans="2:22" s="13" customFormat="1" ht="16" customHeight="1">
      <c r="C59" s="221"/>
      <c r="D59" s="22"/>
      <c r="E59" s="22"/>
      <c r="F59" s="22"/>
      <c r="G59" s="22"/>
      <c r="H59" s="22"/>
      <c r="I59" s="22"/>
      <c r="O59" s="22"/>
      <c r="P59" s="22"/>
      <c r="Q59" s="22"/>
      <c r="R59" s="22"/>
      <c r="S59" s="22"/>
      <c r="T59" s="22"/>
    </row>
    <row r="60" spans="2:22" s="13" customFormat="1" ht="8" customHeight="1">
      <c r="C60" s="221"/>
      <c r="D60" s="22"/>
      <c r="E60" s="22"/>
      <c r="F60" s="22"/>
      <c r="G60" s="22"/>
      <c r="H60" s="22"/>
      <c r="I60" s="22"/>
      <c r="O60" s="22"/>
      <c r="P60" s="22"/>
      <c r="Q60" s="22"/>
      <c r="R60" s="22"/>
      <c r="S60" s="22"/>
      <c r="T60" s="22"/>
    </row>
    <row r="61" spans="2:22" s="13" customFormat="1" ht="16" customHeight="1">
      <c r="B61" s="288" t="s">
        <v>150</v>
      </c>
      <c r="D61" s="25" t="s">
        <v>30</v>
      </c>
      <c r="E61" s="22"/>
      <c r="F61" s="22"/>
      <c r="G61" s="22"/>
      <c r="H61" s="22"/>
      <c r="I61" s="22"/>
      <c r="O61" s="23"/>
      <c r="P61" s="23"/>
      <c r="Q61" s="23"/>
      <c r="R61" s="23"/>
      <c r="S61" s="23"/>
      <c r="T61" s="23"/>
    </row>
    <row r="62" spans="2:22" s="23" customFormat="1" ht="16" customHeight="1">
      <c r="C62" s="222"/>
      <c r="D62" s="23" t="s">
        <v>29</v>
      </c>
      <c r="E62" s="24">
        <v>80.7</v>
      </c>
      <c r="F62" s="24">
        <v>77.2</v>
      </c>
      <c r="G62" s="24">
        <v>61.7</v>
      </c>
      <c r="H62" s="24">
        <v>59</v>
      </c>
      <c r="I62" s="24">
        <v>39</v>
      </c>
      <c r="J62" s="24">
        <f ca="1">J63*J9</f>
        <v>40.33</v>
      </c>
      <c r="K62" s="24">
        <f ca="1">K63*K9</f>
        <v>47.754080000000002</v>
      </c>
      <c r="L62" s="24">
        <f ca="1">L63*L9</f>
        <v>55.598294400000015</v>
      </c>
      <c r="O62" s="22"/>
      <c r="P62" s="22"/>
      <c r="Q62" s="22"/>
      <c r="R62" s="22"/>
      <c r="S62" s="22"/>
      <c r="T62" s="22"/>
    </row>
    <row r="63" spans="2:22" s="22" customFormat="1" ht="16" customHeight="1">
      <c r="C63" s="223"/>
      <c r="D63" s="22" t="s">
        <v>28</v>
      </c>
      <c r="E63" s="22">
        <f>E62/E9</f>
        <v>1.5855239891547801E-2</v>
      </c>
      <c r="F63" s="22">
        <f>F62/F9</f>
        <v>1.284376195784185E-2</v>
      </c>
      <c r="G63" s="22">
        <f>G62/G9</f>
        <v>1.0409636928060469E-2</v>
      </c>
      <c r="H63" s="22">
        <f>H62/H9</f>
        <v>1.1189500834471249E-2</v>
      </c>
      <c r="I63" s="22">
        <f>I62/I9</f>
        <v>1.0201412503269683E-2</v>
      </c>
      <c r="J63" s="277">
        <v>0.01</v>
      </c>
      <c r="K63" s="277">
        <v>1.0999999999999999E-2</v>
      </c>
      <c r="L63" s="277">
        <v>1.2E-2</v>
      </c>
      <c r="O63" s="9"/>
      <c r="P63" s="9"/>
      <c r="Q63" s="9"/>
      <c r="R63" s="9"/>
      <c r="S63" s="9"/>
      <c r="T63" s="9"/>
    </row>
    <row r="64" spans="2:22" s="22" customFormat="1" ht="16" customHeight="1">
      <c r="C64" s="223"/>
      <c r="O64" s="9"/>
      <c r="P64" s="9"/>
      <c r="Q64" s="9"/>
      <c r="R64" s="9"/>
      <c r="S64" s="9"/>
      <c r="T64" s="9"/>
    </row>
    <row r="65" spans="2:20" s="23" customFormat="1" ht="16" customHeight="1">
      <c r="C65" s="222"/>
      <c r="D65" s="23" t="s">
        <v>27</v>
      </c>
      <c r="E65" s="23">
        <v>60</v>
      </c>
      <c r="F65" s="23">
        <v>62</v>
      </c>
      <c r="G65" s="23">
        <v>55.9</v>
      </c>
      <c r="H65" s="23">
        <v>45</v>
      </c>
      <c r="I65" s="23">
        <v>16</v>
      </c>
      <c r="J65" s="23">
        <f ca="1">J66*J9</f>
        <v>20.164999999999999</v>
      </c>
      <c r="K65" s="23">
        <f ca="1">K66*K9</f>
        <v>21.706400000000002</v>
      </c>
      <c r="L65" s="23">
        <f ca="1">L66*L9</f>
        <v>23.165956000000005</v>
      </c>
      <c r="O65" s="9"/>
      <c r="P65" s="9"/>
      <c r="Q65" s="9"/>
      <c r="R65" s="9"/>
      <c r="S65" s="9"/>
      <c r="T65" s="9"/>
    </row>
    <row r="66" spans="2:20" s="22" customFormat="1" ht="16" customHeight="1">
      <c r="C66" s="223"/>
      <c r="D66" s="22" t="s">
        <v>26</v>
      </c>
      <c r="E66" s="22">
        <f>E65/E9</f>
        <v>1.1788282447247436E-2</v>
      </c>
      <c r="F66" s="22">
        <f>F65/F9</f>
        <v>1.0314938359924801E-2</v>
      </c>
      <c r="G66" s="22">
        <f>G65/G9</f>
        <v>9.4310973140774735E-3</v>
      </c>
      <c r="H66" s="22">
        <f>H65/H9</f>
        <v>8.5343650432407828E-3</v>
      </c>
      <c r="I66" s="22">
        <f>I65/I9</f>
        <v>4.18519487313628E-3</v>
      </c>
      <c r="J66" s="277">
        <v>5.0000000000000001E-3</v>
      </c>
      <c r="K66" s="277">
        <v>5.0000000000000001E-3</v>
      </c>
      <c r="L66" s="277">
        <v>5.0000000000000001E-3</v>
      </c>
      <c r="O66" s="9"/>
      <c r="P66" s="9"/>
      <c r="Q66" s="9"/>
      <c r="R66" s="9"/>
      <c r="S66" s="9"/>
      <c r="T66" s="9"/>
    </row>
    <row r="67" spans="2:20" s="22" customFormat="1" ht="16" customHeight="1">
      <c r="C67" s="223"/>
      <c r="O67" s="9"/>
      <c r="P67" s="9"/>
      <c r="Q67" s="9"/>
      <c r="R67" s="9"/>
      <c r="S67" s="9"/>
      <c r="T67" s="9"/>
    </row>
    <row r="68" spans="2:20" s="9" customFormat="1" ht="16" customHeight="1">
      <c r="C68" s="224"/>
      <c r="D68" s="9" t="s">
        <v>25</v>
      </c>
      <c r="E68" s="9">
        <f t="shared" ref="E68:L68" si="27">E53+E65</f>
        <v>-85.224175824175859</v>
      </c>
      <c r="F68" s="9">
        <f t="shared" si="27"/>
        <v>-354.87232886635252</v>
      </c>
      <c r="G68" s="9">
        <f t="shared" si="27"/>
        <v>66.119047619047066</v>
      </c>
      <c r="H68" s="9">
        <f t="shared" si="27"/>
        <v>-323.57172607128535</v>
      </c>
      <c r="I68" s="9">
        <f t="shared" si="27"/>
        <v>87.185714285714283</v>
      </c>
      <c r="J68" s="9">
        <f t="shared" ca="1" si="27"/>
        <v>367.7069200000002</v>
      </c>
      <c r="K68" s="9">
        <f t="shared" ca="1" si="27"/>
        <v>413.19950720000008</v>
      </c>
      <c r="L68" s="9">
        <f t="shared" ca="1" si="27"/>
        <v>461.38717116800018</v>
      </c>
    </row>
    <row r="69" spans="2:20" s="9" customFormat="1" ht="16" customHeight="1">
      <c r="C69" s="224"/>
      <c r="D69" s="9" t="s">
        <v>24</v>
      </c>
      <c r="E69" s="256">
        <v>103.4</v>
      </c>
      <c r="F69" s="256">
        <v>275</v>
      </c>
      <c r="G69" s="256">
        <v>27.3</v>
      </c>
      <c r="H69" s="256">
        <v>154.4</v>
      </c>
      <c r="I69" s="256">
        <v>118</v>
      </c>
      <c r="J69" s="154"/>
      <c r="K69" s="154"/>
      <c r="L69" s="154"/>
      <c r="O69" s="196"/>
      <c r="P69" s="196"/>
      <c r="Q69" s="196"/>
    </row>
    <row r="70" spans="2:20" s="9" customFormat="1" ht="16" customHeight="1">
      <c r="C70" s="224"/>
      <c r="D70" s="9" t="s">
        <v>23</v>
      </c>
      <c r="E70" s="19"/>
      <c r="F70" s="19">
        <f>F69-E69</f>
        <v>171.6</v>
      </c>
      <c r="G70" s="19">
        <f t="shared" ref="G70:I70" si="28">G69-F69</f>
        <v>-247.7</v>
      </c>
      <c r="H70" s="19">
        <f t="shared" si="28"/>
        <v>127.10000000000001</v>
      </c>
      <c r="I70" s="19">
        <f t="shared" si="28"/>
        <v>-36.400000000000006</v>
      </c>
      <c r="J70" s="19">
        <f ca="1">J71*J9</f>
        <v>20.164999999999999</v>
      </c>
      <c r="K70" s="19">
        <f ca="1">K71*K9</f>
        <v>21.706400000000002</v>
      </c>
      <c r="L70" s="19">
        <f ca="1">L71*L9</f>
        <v>23.165956000000005</v>
      </c>
    </row>
    <row r="71" spans="2:20" s="9" customFormat="1" ht="16" customHeight="1">
      <c r="C71" s="224"/>
      <c r="D71" s="259" t="s">
        <v>169</v>
      </c>
      <c r="E71" s="19"/>
      <c r="F71" s="278">
        <f>F70/F9</f>
        <v>2.8549087460695094E-2</v>
      </c>
      <c r="G71" s="278">
        <f>G70/G9</f>
        <v>-4.1790390066135781E-2</v>
      </c>
      <c r="H71" s="278">
        <f>H70/H9</f>
        <v>2.4104839933242302E-2</v>
      </c>
      <c r="I71" s="278">
        <f>I70/I9</f>
        <v>-9.5213183363850387E-3</v>
      </c>
      <c r="J71" s="279">
        <v>5.0000000000000001E-3</v>
      </c>
      <c r="K71" s="279">
        <v>5.0000000000000001E-3</v>
      </c>
      <c r="L71" s="279">
        <v>5.0000000000000001E-3</v>
      </c>
    </row>
    <row r="72" spans="2:20" s="9" customFormat="1" ht="16" customHeight="1">
      <c r="C72" s="224"/>
      <c r="E72" s="19"/>
      <c r="F72" s="19"/>
      <c r="G72" s="19"/>
      <c r="H72" s="19"/>
      <c r="I72" s="19"/>
      <c r="J72" s="19"/>
      <c r="K72" s="19"/>
      <c r="L72" s="19"/>
    </row>
    <row r="73" spans="2:20" s="9" customFormat="1" ht="16" customHeight="1">
      <c r="C73" s="224"/>
      <c r="D73" s="9" t="s">
        <v>156</v>
      </c>
      <c r="E73" s="19">
        <v>419.8</v>
      </c>
      <c r="F73" s="19">
        <v>241</v>
      </c>
      <c r="G73" s="19">
        <v>40.5</v>
      </c>
      <c r="H73" s="19">
        <v>28.7</v>
      </c>
      <c r="I73" s="19">
        <v>17.7</v>
      </c>
      <c r="J73" s="341">
        <v>6.6</v>
      </c>
      <c r="K73" s="341">
        <v>6.6</v>
      </c>
      <c r="L73" s="341">
        <v>6.6</v>
      </c>
    </row>
    <row r="74" spans="2:20" s="9" customFormat="1" ht="16" customHeight="1">
      <c r="C74" s="224"/>
      <c r="D74" s="9" t="s">
        <v>22</v>
      </c>
      <c r="E74" s="256">
        <v>79.599999999999994</v>
      </c>
      <c r="F74" s="256">
        <v>267.5</v>
      </c>
      <c r="G74" s="256">
        <v>1230.9000000000001</v>
      </c>
      <c r="H74" s="256">
        <v>1110.3</v>
      </c>
      <c r="I74" s="263">
        <v>904</v>
      </c>
      <c r="J74" s="395">
        <f>J73-'Balance Sheet'!$H$11</f>
        <v>-915.1</v>
      </c>
      <c r="K74" s="395">
        <f>K73-'Balance Sheet'!$H$11</f>
        <v>-915.1</v>
      </c>
      <c r="L74" s="395">
        <f>L73-'Balance Sheet'!$H$11</f>
        <v>-915.1</v>
      </c>
    </row>
    <row r="75" spans="2:20" s="9" customFormat="1" ht="16" customHeight="1">
      <c r="C75" s="224"/>
      <c r="D75" s="9" t="s">
        <v>21</v>
      </c>
      <c r="E75" s="253">
        <v>268</v>
      </c>
      <c r="F75" s="253">
        <v>145</v>
      </c>
      <c r="G75" s="253">
        <v>15</v>
      </c>
      <c r="H75" s="253">
        <v>64.7</v>
      </c>
      <c r="I75" s="253">
        <v>36.1</v>
      </c>
      <c r="J75" s="253">
        <f t="shared" ref="J75:L75" ca="1" si="29">J74/J44</f>
        <v>-2.3153372432533628</v>
      </c>
      <c r="K75" s="253">
        <f t="shared" ca="1" si="29"/>
        <v>-2.0465084075243878</v>
      </c>
      <c r="L75" s="253">
        <f t="shared" ca="1" si="29"/>
        <v>-1.8287931109228008</v>
      </c>
    </row>
    <row r="76" spans="2:20" s="9" customFormat="1" ht="16" customHeight="1">
      <c r="C76" s="224"/>
      <c r="D76" s="9" t="s">
        <v>167</v>
      </c>
      <c r="E76" s="254">
        <f>E25/E73</f>
        <v>-6.4792758456407806E-2</v>
      </c>
      <c r="F76" s="254">
        <f>F25/F73</f>
        <v>-0.13319502074688797</v>
      </c>
      <c r="G76" s="254">
        <f>G25/G73</f>
        <v>-0.66419753086419753</v>
      </c>
      <c r="H76" s="254">
        <f>H25/H73</f>
        <v>0.33101045296167247</v>
      </c>
      <c r="I76" s="254">
        <f>I25/I73</f>
        <v>2.7966101694915255</v>
      </c>
      <c r="J76" s="340">
        <v>0.04</v>
      </c>
      <c r="K76" s="340">
        <v>0.04</v>
      </c>
      <c r="L76" s="340">
        <v>0.04</v>
      </c>
    </row>
    <row r="77" spans="2:20" s="9" customFormat="1" ht="8" customHeight="1">
      <c r="C77" s="224"/>
      <c r="E77" s="254"/>
      <c r="F77" s="254"/>
      <c r="G77" s="254"/>
      <c r="H77" s="254"/>
      <c r="I77" s="254"/>
      <c r="J77" s="255"/>
      <c r="K77" s="255"/>
      <c r="L77" s="255"/>
    </row>
    <row r="78" spans="2:20" s="9" customFormat="1" ht="16" customHeight="1">
      <c r="C78" s="224"/>
    </row>
    <row r="79" spans="2:20" s="9" customFormat="1" ht="8" customHeight="1">
      <c r="C79" s="224"/>
    </row>
    <row r="80" spans="2:20" s="9" customFormat="1" ht="16" customHeight="1">
      <c r="B80" s="288" t="s">
        <v>150</v>
      </c>
      <c r="D80" s="21" t="s">
        <v>19</v>
      </c>
    </row>
    <row r="81" spans="3:20" s="9" customFormat="1" ht="16" customHeight="1">
      <c r="C81" s="224"/>
      <c r="D81" s="9" t="s">
        <v>18</v>
      </c>
      <c r="E81" s="20">
        <f>E22</f>
        <v>-254.70000000000005</v>
      </c>
      <c r="F81" s="20">
        <f t="shared" ref="F81:L81" si="30">F22</f>
        <v>-308.19999999999982</v>
      </c>
      <c r="G81" s="20">
        <f t="shared" si="30"/>
        <v>-257.90000000000055</v>
      </c>
      <c r="H81" s="20">
        <f t="shared" si="30"/>
        <v>-240.19999999999982</v>
      </c>
      <c r="I81" s="20">
        <f t="shared" si="30"/>
        <v>39</v>
      </c>
      <c r="J81" s="20">
        <f t="shared" ca="1" si="30"/>
        <v>354.90400000000022</v>
      </c>
      <c r="K81" s="20">
        <f t="shared" ca="1" si="30"/>
        <v>399.39776000000006</v>
      </c>
      <c r="L81" s="20">
        <f t="shared" ca="1" si="30"/>
        <v>444.78635520000023</v>
      </c>
    </row>
    <row r="82" spans="3:20" s="9" customFormat="1" ht="16" customHeight="1">
      <c r="C82" s="224"/>
      <c r="D82" s="18" t="s">
        <v>17</v>
      </c>
      <c r="E82" s="19">
        <f t="shared" ref="E82:L82" si="31">-E81*E30</f>
        <v>61.575824175824174</v>
      </c>
      <c r="F82" s="19">
        <f t="shared" si="31"/>
        <v>15.627671133647231</v>
      </c>
      <c r="G82" s="19">
        <f t="shared" si="31"/>
        <v>-12.280952380952378</v>
      </c>
      <c r="H82" s="19">
        <f t="shared" si="31"/>
        <v>-5.7717260712855429</v>
      </c>
      <c r="I82" s="19">
        <f t="shared" si="31"/>
        <v>22.285714285714285</v>
      </c>
      <c r="J82" s="19">
        <f t="shared" ca="1" si="31"/>
        <v>-7.0980800000000048</v>
      </c>
      <c r="K82" s="19">
        <f t="shared" ca="1" si="31"/>
        <v>-11.981932800000001</v>
      </c>
      <c r="L82" s="19">
        <f t="shared" ca="1" si="31"/>
        <v>-15.567522432000009</v>
      </c>
    </row>
    <row r="83" spans="3:20" s="9" customFormat="1" ht="16" customHeight="1">
      <c r="C83" s="224"/>
      <c r="D83" s="18" t="s">
        <v>16</v>
      </c>
      <c r="E83" s="19">
        <f t="shared" ref="E83:L83" si="32">E62</f>
        <v>80.7</v>
      </c>
      <c r="F83" s="19">
        <f t="shared" si="32"/>
        <v>77.2</v>
      </c>
      <c r="G83" s="19">
        <f t="shared" si="32"/>
        <v>61.7</v>
      </c>
      <c r="H83" s="19">
        <f t="shared" si="32"/>
        <v>59</v>
      </c>
      <c r="I83" s="19">
        <f t="shared" si="32"/>
        <v>39</v>
      </c>
      <c r="J83" s="19">
        <f t="shared" ca="1" si="32"/>
        <v>40.33</v>
      </c>
      <c r="K83" s="19">
        <f t="shared" ca="1" si="32"/>
        <v>47.754080000000002</v>
      </c>
      <c r="L83" s="19">
        <f t="shared" ca="1" si="32"/>
        <v>55.598294400000015</v>
      </c>
    </row>
    <row r="84" spans="3:20" s="9" customFormat="1" ht="16" customHeight="1">
      <c r="C84" s="224"/>
      <c r="D84" s="18" t="s">
        <v>15</v>
      </c>
      <c r="E84" s="19">
        <f t="shared" ref="E84:L84" si="33">-E65</f>
        <v>-60</v>
      </c>
      <c r="F84" s="19">
        <f t="shared" si="33"/>
        <v>-62</v>
      </c>
      <c r="G84" s="19">
        <f t="shared" si="33"/>
        <v>-55.9</v>
      </c>
      <c r="H84" s="19">
        <f t="shared" si="33"/>
        <v>-45</v>
      </c>
      <c r="I84" s="19">
        <f t="shared" si="33"/>
        <v>-16</v>
      </c>
      <c r="J84" s="19">
        <f t="shared" ca="1" si="33"/>
        <v>-20.164999999999999</v>
      </c>
      <c r="K84" s="19">
        <f t="shared" ca="1" si="33"/>
        <v>-21.706400000000002</v>
      </c>
      <c r="L84" s="19">
        <f t="shared" ca="1" si="33"/>
        <v>-23.165956000000005</v>
      </c>
    </row>
    <row r="85" spans="3:20" s="9" customFormat="1" ht="16" customHeight="1">
      <c r="C85" s="224"/>
      <c r="D85" s="18" t="s">
        <v>14</v>
      </c>
      <c r="E85" s="17">
        <f t="shared" ref="E85:L85" si="34">-E70</f>
        <v>0</v>
      </c>
      <c r="F85" s="17">
        <f>-F70</f>
        <v>-171.6</v>
      </c>
      <c r="G85" s="17">
        <f t="shared" si="34"/>
        <v>247.7</v>
      </c>
      <c r="H85" s="17">
        <f t="shared" si="34"/>
        <v>-127.10000000000001</v>
      </c>
      <c r="I85" s="17">
        <f t="shared" si="34"/>
        <v>36.400000000000006</v>
      </c>
      <c r="J85" s="17">
        <f t="shared" ca="1" si="34"/>
        <v>-20.164999999999999</v>
      </c>
      <c r="K85" s="17">
        <f t="shared" ca="1" si="34"/>
        <v>-21.706400000000002</v>
      </c>
      <c r="L85" s="17">
        <f t="shared" ca="1" si="34"/>
        <v>-23.165956000000005</v>
      </c>
    </row>
    <row r="86" spans="3:20" s="9" customFormat="1" ht="16" customHeight="1">
      <c r="C86" s="224"/>
      <c r="D86" s="16" t="s">
        <v>13</v>
      </c>
      <c r="E86" s="15">
        <f t="shared" ref="E86:L86" si="35">SUM(E81:E85)</f>
        <v>-172.42417582417585</v>
      </c>
      <c r="F86" s="15">
        <f>SUM(F81:F85)</f>
        <v>-448.97232886635254</v>
      </c>
      <c r="G86" s="15">
        <f t="shared" si="35"/>
        <v>-16.680952380952931</v>
      </c>
      <c r="H86" s="15">
        <f t="shared" si="35"/>
        <v>-359.07172607128535</v>
      </c>
      <c r="I86" s="15">
        <f t="shared" si="35"/>
        <v>120.68571428571428</v>
      </c>
      <c r="J86" s="15">
        <f ca="1">SUM(J81:J85)</f>
        <v>347.80592000000019</v>
      </c>
      <c r="K86" s="15">
        <f t="shared" ca="1" si="35"/>
        <v>391.75710720000006</v>
      </c>
      <c r="L86" s="15">
        <f t="shared" ca="1" si="35"/>
        <v>438.4852151680002</v>
      </c>
      <c r="O86" s="2"/>
      <c r="P86" s="2"/>
      <c r="Q86" s="2"/>
      <c r="R86" s="2"/>
      <c r="S86" s="2"/>
      <c r="T86" s="2"/>
    </row>
    <row r="87" spans="3:20" s="9" customFormat="1" ht="16" customHeight="1">
      <c r="C87" s="224"/>
      <c r="O87" s="2"/>
      <c r="P87" s="2"/>
      <c r="Q87" s="2"/>
      <c r="R87" s="2"/>
      <c r="S87" s="2"/>
      <c r="T87" s="2"/>
    </row>
    <row r="88" spans="3:20" s="9" customFormat="1" ht="16" customHeight="1">
      <c r="C88" s="224"/>
      <c r="D88" s="148" t="s">
        <v>192</v>
      </c>
      <c r="E88" s="281">
        <v>9.4899999999999998E-2</v>
      </c>
      <c r="I88" s="9" t="s">
        <v>12</v>
      </c>
      <c r="J88" s="9">
        <f ca="1">J86/(1+$E$88)^J7</f>
        <v>355.31557008385334</v>
      </c>
      <c r="K88" s="9">
        <f ca="1">K86/(1+$E$88)^K7</f>
        <v>365.52719806428735</v>
      </c>
      <c r="L88" s="9">
        <f ca="1">L86/(1+$E$88)^L7</f>
        <v>373.665766722846</v>
      </c>
      <c r="N88" s="15"/>
      <c r="O88" s="2"/>
      <c r="P88" s="2"/>
      <c r="Q88" s="2"/>
      <c r="R88" s="2"/>
      <c r="S88" s="2"/>
      <c r="T88" s="2"/>
    </row>
    <row r="89" spans="3:20" s="9" customFormat="1" ht="16" customHeight="1">
      <c r="C89" s="224"/>
      <c r="D89" s="259"/>
      <c r="E89" s="260"/>
      <c r="N89" s="15"/>
      <c r="O89" s="2"/>
      <c r="P89" s="2"/>
      <c r="Q89" s="2"/>
      <c r="R89" s="2"/>
      <c r="S89" s="2"/>
      <c r="T89" s="2"/>
    </row>
    <row r="90" spans="3:20" s="2" customFormat="1" ht="16" customHeight="1">
      <c r="C90" s="11"/>
      <c r="E90" s="13"/>
      <c r="F90" s="13"/>
      <c r="G90" s="13"/>
      <c r="H90" s="13"/>
      <c r="I90" s="13"/>
      <c r="J90" s="13"/>
      <c r="L90" s="14">
        <f ca="1">SUM(J88:L88)</f>
        <v>1094.5085348709868</v>
      </c>
    </row>
    <row r="91" spans="3:20" s="2" customFormat="1" ht="16" customHeight="1">
      <c r="C91" s="11"/>
      <c r="D91" s="11"/>
      <c r="E91" s="12" t="s">
        <v>11</v>
      </c>
      <c r="F91" s="11"/>
      <c r="G91" s="11"/>
      <c r="H91" s="11"/>
      <c r="I91" s="11"/>
      <c r="J91" s="11"/>
    </row>
    <row r="92" spans="3:20" s="2" customFormat="1" ht="16" customHeight="1">
      <c r="C92" s="11"/>
      <c r="D92" s="10" t="s">
        <v>10</v>
      </c>
      <c r="E92" s="10" t="s">
        <v>9</v>
      </c>
      <c r="F92" s="10" t="s">
        <v>8</v>
      </c>
      <c r="G92" s="10" t="s">
        <v>7</v>
      </c>
      <c r="H92" s="10" t="s">
        <v>6</v>
      </c>
      <c r="I92" s="10" t="s">
        <v>5</v>
      </c>
      <c r="J92" s="10" t="s">
        <v>4</v>
      </c>
      <c r="K92" s="12" t="s">
        <v>120</v>
      </c>
    </row>
    <row r="93" spans="3:20" s="2" customFormat="1" ht="16" customHeight="1">
      <c r="C93" s="11"/>
      <c r="D93" s="2" t="s">
        <v>3</v>
      </c>
      <c r="E93" s="280">
        <v>28</v>
      </c>
      <c r="F93" s="9">
        <f ca="1">E93*L44</f>
        <v>14010.770188800007</v>
      </c>
      <c r="G93" s="9">
        <f ca="1">F93/(1+$E$88)^L7</f>
        <v>11939.616214812831</v>
      </c>
      <c r="H93" s="9">
        <f ca="1">($L$90+G93)-$I$74-1050</f>
        <v>11080.124749683819</v>
      </c>
      <c r="I93" s="9">
        <f>$I$34</f>
        <v>447</v>
      </c>
      <c r="J93" s="7">
        <f ca="1">H93/I93</f>
        <v>24.787751117860893</v>
      </c>
      <c r="K93" s="155">
        <f ca="1">(J93-$E$96)/$E$96</f>
        <v>0.15291865664469267</v>
      </c>
    </row>
    <row r="94" spans="3:20" s="2" customFormat="1" ht="17" thickBot="1">
      <c r="C94" s="11"/>
    </row>
    <row r="95" spans="3:20" s="2" customFormat="1" ht="16" customHeight="1">
      <c r="C95" s="11"/>
      <c r="D95" s="6" t="s">
        <v>2</v>
      </c>
      <c r="E95" s="5">
        <f ca="1">AVERAGE(J93:J93)</f>
        <v>24.787751117860893</v>
      </c>
      <c r="O95" s="1"/>
      <c r="P95" s="1"/>
      <c r="Q95" s="1"/>
      <c r="R95" s="1"/>
      <c r="S95" s="1"/>
      <c r="T95" s="1"/>
    </row>
    <row r="96" spans="3:20" s="2" customFormat="1" ht="16" customHeight="1">
      <c r="C96" s="11"/>
      <c r="D96" s="4" t="s">
        <v>1</v>
      </c>
      <c r="E96" s="342">
        <v>21.5</v>
      </c>
      <c r="O96" s="1"/>
      <c r="P96" s="1"/>
      <c r="Q96" s="1"/>
      <c r="R96" s="1"/>
      <c r="S96" s="1"/>
      <c r="T96" s="1"/>
    </row>
    <row r="97" spans="2:22" s="2" customFormat="1" ht="17" thickBot="1">
      <c r="C97" s="11"/>
      <c r="D97" s="399" t="s">
        <v>0</v>
      </c>
      <c r="E97" s="3">
        <f ca="1">(E95-E96)/E96</f>
        <v>0.15291865664469267</v>
      </c>
      <c r="O97" s="1"/>
      <c r="P97" s="1"/>
      <c r="Q97" s="1"/>
      <c r="R97" s="1"/>
      <c r="S97" s="1"/>
      <c r="T97" s="1"/>
    </row>
    <row r="98" spans="2:22" ht="8" customHeight="1"/>
    <row r="100" spans="2:22" ht="8" customHeight="1"/>
    <row r="101" spans="2:22">
      <c r="B101" s="287" t="s">
        <v>150</v>
      </c>
      <c r="C101" s="1"/>
      <c r="D101" s="216" t="s">
        <v>145</v>
      </c>
      <c r="E101" s="215"/>
      <c r="F101" s="215"/>
      <c r="G101" s="215"/>
      <c r="H101" s="215"/>
      <c r="I101" s="215"/>
      <c r="J101" s="215"/>
      <c r="K101" s="215"/>
      <c r="L101" s="258" t="s">
        <v>147</v>
      </c>
    </row>
    <row r="103" spans="2:22">
      <c r="D103" s="217" t="s">
        <v>149</v>
      </c>
      <c r="G103" s="218"/>
      <c r="J103" s="352">
        <f>+J6</f>
        <v>46053</v>
      </c>
      <c r="K103" s="352">
        <f>+K6</f>
        <v>46418</v>
      </c>
      <c r="L103" s="352">
        <f>+L6</f>
        <v>46783</v>
      </c>
      <c r="O103" s="2">
        <f>MATCH(L101,D104:D106,0)</f>
        <v>2</v>
      </c>
      <c r="P103" s="54" t="s">
        <v>176</v>
      </c>
    </row>
    <row r="104" spans="2:22">
      <c r="D104" s="43" t="s">
        <v>146</v>
      </c>
      <c r="J104" s="270">
        <v>-0.03</v>
      </c>
      <c r="K104" s="270">
        <v>-0.01</v>
      </c>
      <c r="L104" s="270">
        <v>2.5000000000000001E-2</v>
      </c>
    </row>
    <row r="105" spans="2:22">
      <c r="D105" s="43" t="s">
        <v>147</v>
      </c>
      <c r="J105" s="264">
        <f>'Revenue Build'!I20</f>
        <v>5.4930682709913636E-2</v>
      </c>
      <c r="K105" s="264">
        <f>'Revenue Build'!J20</f>
        <v>7.6439375154971678E-2</v>
      </c>
      <c r="L105" s="264">
        <f>'Revenue Build'!K20</f>
        <v>6.7240813769211094E-2</v>
      </c>
      <c r="V105" s="2"/>
    </row>
    <row r="106" spans="2:22">
      <c r="D106" s="43" t="s">
        <v>148</v>
      </c>
      <c r="J106" s="270">
        <v>0.01</v>
      </c>
      <c r="K106" s="270">
        <v>0.03</v>
      </c>
      <c r="L106" s="270">
        <v>0.04</v>
      </c>
      <c r="V106" s="2"/>
    </row>
    <row r="107" spans="2:22">
      <c r="V107" s="2"/>
    </row>
    <row r="108" spans="2:22">
      <c r="D108" s="217" t="s">
        <v>52</v>
      </c>
      <c r="J108" s="352">
        <f>+J6</f>
        <v>46053</v>
      </c>
      <c r="K108" s="352">
        <f>+K6</f>
        <v>46418</v>
      </c>
      <c r="L108" s="352">
        <f>+L6</f>
        <v>46783</v>
      </c>
      <c r="V108" s="2"/>
    </row>
    <row r="109" spans="2:22">
      <c r="D109" s="43" t="s">
        <v>146</v>
      </c>
      <c r="J109" s="271">
        <v>0.88</v>
      </c>
      <c r="K109" s="271">
        <v>0.87</v>
      </c>
      <c r="L109" s="271">
        <v>0.87</v>
      </c>
      <c r="V109" s="13"/>
    </row>
    <row r="110" spans="2:22">
      <c r="D110" s="43" t="s">
        <v>147</v>
      </c>
      <c r="J110" s="271">
        <v>0.69699999999999995</v>
      </c>
      <c r="K110" s="271">
        <v>0.69299999999999995</v>
      </c>
      <c r="L110" s="271">
        <v>0.69</v>
      </c>
      <c r="V110" s="13"/>
    </row>
    <row r="111" spans="2:22">
      <c r="D111" s="43" t="s">
        <v>148</v>
      </c>
      <c r="J111" s="271">
        <v>0.83</v>
      </c>
      <c r="K111" s="271">
        <v>0.81</v>
      </c>
      <c r="L111" s="271">
        <v>0.8</v>
      </c>
      <c r="V111" s="13"/>
    </row>
    <row r="112" spans="2:22">
      <c r="V112" s="13"/>
    </row>
    <row r="113" spans="4:22">
      <c r="D113" s="217" t="s">
        <v>171</v>
      </c>
      <c r="J113" s="352">
        <f>+J6</f>
        <v>46053</v>
      </c>
      <c r="K113" s="352">
        <f t="shared" ref="K113:L113" si="36">+K6</f>
        <v>46418</v>
      </c>
      <c r="L113" s="352">
        <f t="shared" si="36"/>
        <v>46783</v>
      </c>
      <c r="V113" s="23"/>
    </row>
    <row r="114" spans="4:22">
      <c r="D114" s="43" t="s">
        <v>146</v>
      </c>
      <c r="J114" s="271">
        <v>0.03</v>
      </c>
      <c r="K114" s="271">
        <v>3.3000000000000002E-2</v>
      </c>
      <c r="L114" s="271">
        <v>3.7999999999999999E-2</v>
      </c>
      <c r="V114" s="22"/>
    </row>
    <row r="115" spans="4:22">
      <c r="D115" s="43" t="s">
        <v>147</v>
      </c>
      <c r="J115" s="271">
        <v>0.215</v>
      </c>
      <c r="K115" s="271">
        <v>0.215</v>
      </c>
      <c r="L115" s="271">
        <v>0.214</v>
      </c>
      <c r="V115" s="23"/>
    </row>
    <row r="116" spans="4:22">
      <c r="D116" s="43" t="s">
        <v>148</v>
      </c>
      <c r="J116" s="271">
        <v>2.3E-2</v>
      </c>
      <c r="K116" s="271">
        <v>3.0300000000000001E-2</v>
      </c>
      <c r="L116" s="271">
        <v>3.5000000000000003E-2</v>
      </c>
      <c r="V116" s="22"/>
    </row>
    <row r="117" spans="4:22" ht="8" customHeight="1">
      <c r="V117" s="9"/>
    </row>
    <row r="118" spans="4:22">
      <c r="V118" s="2"/>
    </row>
    <row r="119" spans="4:22">
      <c r="V119" s="9"/>
    </row>
    <row r="120" spans="4:22">
      <c r="V120" s="9"/>
    </row>
    <row r="121" spans="4:22">
      <c r="V121" s="9"/>
    </row>
    <row r="122" spans="4:22">
      <c r="V122" s="9"/>
    </row>
    <row r="123" spans="4:22">
      <c r="P123" s="9"/>
      <c r="Q123" s="9"/>
      <c r="R123" s="9"/>
      <c r="S123" s="9"/>
      <c r="T123" s="9"/>
      <c r="V123" s="9"/>
    </row>
    <row r="124" spans="4:22">
      <c r="P124" s="9"/>
      <c r="Q124" s="9"/>
      <c r="R124" s="9"/>
      <c r="S124" s="9"/>
      <c r="T124" s="9"/>
      <c r="V124" s="9"/>
    </row>
    <row r="125" spans="4:22">
      <c r="P125" s="9"/>
      <c r="Q125" s="9"/>
      <c r="R125" s="9"/>
      <c r="S125" s="9"/>
      <c r="T125" s="9"/>
      <c r="V125" s="9"/>
    </row>
    <row r="126" spans="4:22">
      <c r="P126" s="9"/>
      <c r="Q126" s="9"/>
      <c r="R126" s="9"/>
      <c r="S126" s="9"/>
      <c r="T126" s="9"/>
      <c r="U126" s="9"/>
      <c r="V126" s="9"/>
    </row>
    <row r="127" spans="4:22">
      <c r="U127" s="9"/>
      <c r="V127" s="9"/>
    </row>
    <row r="128" spans="4:22">
      <c r="U128" s="9"/>
      <c r="V128" s="9"/>
    </row>
    <row r="129" spans="21:22">
      <c r="U129" s="9"/>
      <c r="V129" s="9"/>
    </row>
  </sheetData>
  <sheetProtection formatCells="0" formatColumns="0" formatRows="0" insertColumns="0" insertRows="0" insertHyperlinks="0" deleteColumns="0" deleteRows="0" sort="0" autoFilter="0" pivotTables="0"/>
  <conditionalFormatting sqref="E97">
    <cfRule type="expression" dxfId="4" priority="4">
      <formula>E97&gt;0</formula>
    </cfRule>
    <cfRule type="expression" dxfId="3" priority="5">
      <formula>E97&lt;0</formula>
    </cfRule>
  </conditionalFormatting>
  <conditionalFormatting sqref="L101">
    <cfRule type="cellIs" dxfId="2" priority="1" operator="equal">
      <formula>"Bear Case"</formula>
    </cfRule>
    <cfRule type="cellIs" dxfId="1" priority="2" operator="equal">
      <formula>"Bull Case"</formula>
    </cfRule>
    <cfRule type="cellIs" dxfId="0" priority="3" operator="equal">
      <formula>"Base Case"</formula>
    </cfRule>
  </conditionalFormatting>
  <dataValidations disablePrompts="1" count="1">
    <dataValidation type="list" allowBlank="1" showInputMessage="1" showErrorMessage="1" sqref="L101" xr:uid="{7A7E1C6B-E9B2-4F63-A44A-08ED61113C83}">
      <formula1>$D$104:$D$106</formula1>
    </dataValidation>
  </dataValidations>
  <pageMargins left="0.7" right="0.7" top="0.75" bottom="0.75" header="0.3" footer="0.3"/>
  <pageSetup scale="4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63F3-5ACC-4448-8F6D-C9CAD6507D62}">
  <sheetPr>
    <pageSetUpPr fitToPage="1"/>
  </sheetPr>
  <dimension ref="B3:U38"/>
  <sheetViews>
    <sheetView showGridLines="0" view="pageBreakPreview" zoomScaleNormal="60" workbookViewId="0">
      <selection activeCell="S13" sqref="S13"/>
    </sheetView>
  </sheetViews>
  <sheetFormatPr baseColWidth="10" defaultColWidth="9" defaultRowHeight="13"/>
  <cols>
    <col min="1" max="2" width="3" style="158" customWidth="1"/>
    <col min="3" max="3" width="37.3984375" style="158" bestFit="1" customWidth="1"/>
    <col min="4" max="4" width="53.796875" style="158" bestFit="1" customWidth="1"/>
    <col min="5" max="5" width="4.59765625" style="158" customWidth="1"/>
    <col min="6" max="6" width="12.59765625" style="158" customWidth="1"/>
    <col min="7" max="7" width="11" style="158" customWidth="1"/>
    <col min="8" max="8" width="9.19921875" style="158" customWidth="1"/>
    <col min="9" max="9" width="19.3984375" style="158" customWidth="1"/>
    <col min="10" max="10" width="9.59765625" style="158" customWidth="1"/>
    <col min="11" max="11" width="10.3984375" style="158" customWidth="1"/>
    <col min="12" max="12" width="11.19921875" style="158" bestFit="1" customWidth="1"/>
    <col min="13" max="13" width="12" style="158" customWidth="1"/>
    <col min="14" max="14" width="3.59765625" style="158" customWidth="1"/>
    <col min="15" max="16384" width="9" style="158"/>
  </cols>
  <sheetData>
    <row r="3" spans="2:13" ht="17">
      <c r="B3" s="158" t="e" cm="1">
        <f t="array" ref="B3">D4+K23z</f>
        <v>#NAME?</v>
      </c>
      <c r="C3" s="290" t="str">
        <f>'Income Statement'!D3</f>
        <v>GAMESTOP  (NYSE: GME)</v>
      </c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6">
      <c r="C4" s="291" t="s">
        <v>128</v>
      </c>
      <c r="D4" s="159"/>
      <c r="E4" s="159"/>
      <c r="F4" s="159"/>
      <c r="G4" s="159"/>
      <c r="H4" s="159"/>
      <c r="I4" s="159"/>
      <c r="J4" s="159"/>
      <c r="K4" s="159"/>
      <c r="L4" s="159"/>
    </row>
    <row r="6" spans="2:13" ht="14" thickBot="1"/>
    <row r="7" spans="2:13" ht="14" thickBot="1">
      <c r="C7" s="230" t="s">
        <v>129</v>
      </c>
      <c r="D7" s="231"/>
      <c r="E7" s="231"/>
      <c r="F7" s="231"/>
      <c r="G7" s="232"/>
      <c r="H7" s="160"/>
      <c r="I7" s="230" t="s">
        <v>130</v>
      </c>
      <c r="J7" s="231"/>
      <c r="K7" s="231"/>
      <c r="L7" s="231"/>
      <c r="M7" s="232"/>
    </row>
    <row r="9" spans="2:13">
      <c r="C9" s="161"/>
      <c r="D9" s="161" t="s">
        <v>87</v>
      </c>
      <c r="E9" s="162"/>
      <c r="F9" s="163" t="s">
        <v>131</v>
      </c>
      <c r="G9" s="164"/>
      <c r="H9" s="160"/>
      <c r="I9" s="165" t="s">
        <v>87</v>
      </c>
      <c r="J9" s="166"/>
      <c r="K9" s="400" t="s">
        <v>131</v>
      </c>
      <c r="L9" s="401"/>
      <c r="M9" s="402"/>
    </row>
    <row r="10" spans="2:13">
      <c r="C10" s="168" t="s">
        <v>132</v>
      </c>
      <c r="D10" s="168" t="s">
        <v>133</v>
      </c>
      <c r="E10" s="162"/>
      <c r="F10" s="168" t="s">
        <v>134</v>
      </c>
      <c r="G10" s="168" t="s">
        <v>135</v>
      </c>
      <c r="H10" s="160"/>
      <c r="I10" s="168" t="s">
        <v>136</v>
      </c>
      <c r="K10" s="167" t="s">
        <v>134</v>
      </c>
      <c r="L10" s="169" t="s">
        <v>137</v>
      </c>
      <c r="M10" s="167" t="s">
        <v>135</v>
      </c>
    </row>
    <row r="11" spans="2:13" ht="14" thickBot="1">
      <c r="H11" s="160"/>
    </row>
    <row r="12" spans="2:13">
      <c r="C12" s="158" t="s">
        <v>162</v>
      </c>
      <c r="D12" s="158" t="s">
        <v>163</v>
      </c>
      <c r="F12" s="283">
        <v>13.64</v>
      </c>
      <c r="G12" s="283">
        <v>14.18</v>
      </c>
      <c r="H12" s="160"/>
      <c r="I12" s="173" t="str">
        <f t="shared" ref="I12:I16" si="0">+C12</f>
        <v>Analyst Research</v>
      </c>
      <c r="J12" s="174"/>
      <c r="K12" s="175">
        <f>+F12</f>
        <v>13.64</v>
      </c>
      <c r="L12" s="176">
        <f t="shared" ref="L12:L16" si="1">M12-K12</f>
        <v>0.53999999999999915</v>
      </c>
      <c r="M12" s="177">
        <f t="shared" ref="M12:M16" si="2">G12</f>
        <v>14.18</v>
      </c>
    </row>
    <row r="13" spans="2:13">
      <c r="C13" s="170" t="s">
        <v>138</v>
      </c>
      <c r="D13" s="170" t="s">
        <v>138</v>
      </c>
      <c r="E13" s="171"/>
      <c r="F13" s="283">
        <v>20.73</v>
      </c>
      <c r="G13" s="283">
        <v>35.81</v>
      </c>
      <c r="H13" s="160"/>
      <c r="I13" s="178" t="str">
        <f t="shared" si="0"/>
        <v>52-Week Low/High</v>
      </c>
      <c r="J13" s="179"/>
      <c r="K13" s="180">
        <f>F13</f>
        <v>20.73</v>
      </c>
      <c r="L13" s="181">
        <f t="shared" si="1"/>
        <v>15.080000000000002</v>
      </c>
      <c r="M13" s="182">
        <f t="shared" si="2"/>
        <v>35.81</v>
      </c>
    </row>
    <row r="14" spans="2:13">
      <c r="C14" s="158" t="s">
        <v>139</v>
      </c>
      <c r="D14" s="170" t="s">
        <v>170</v>
      </c>
      <c r="E14" s="171"/>
      <c r="F14" s="283">
        <v>11.91</v>
      </c>
      <c r="G14" s="283">
        <v>120</v>
      </c>
      <c r="H14" s="160"/>
      <c r="I14" s="178" t="str">
        <f t="shared" si="0"/>
        <v>DCF</v>
      </c>
      <c r="J14" s="179"/>
      <c r="K14" s="180">
        <f>F14</f>
        <v>11.91</v>
      </c>
      <c r="L14" s="181">
        <f t="shared" si="1"/>
        <v>108.09</v>
      </c>
      <c r="M14" s="182">
        <f t="shared" si="2"/>
        <v>120</v>
      </c>
    </row>
    <row r="15" spans="2:13">
      <c r="C15" s="158" t="s">
        <v>164</v>
      </c>
      <c r="D15" s="170" t="s">
        <v>200</v>
      </c>
      <c r="E15" s="171"/>
      <c r="F15" s="183">
        <f ca="1">+' Comps Valuation'!J33</f>
        <v>3.0853534675615237</v>
      </c>
      <c r="G15" s="183">
        <f ca="1">+' Comps Valuation'!J34</f>
        <v>3.5274496644295326</v>
      </c>
      <c r="H15" s="160"/>
      <c r="I15" s="178" t="str">
        <f t="shared" si="0"/>
        <v>Comparables EV/EBITDA</v>
      </c>
      <c r="J15" s="179"/>
      <c r="K15" s="180">
        <f ca="1">F15</f>
        <v>3.0853534675615237</v>
      </c>
      <c r="L15" s="181">
        <f t="shared" ca="1" si="1"/>
        <v>0.44209619686800883</v>
      </c>
      <c r="M15" s="182">
        <f t="shared" ca="1" si="2"/>
        <v>3.5274496644295326</v>
      </c>
    </row>
    <row r="16" spans="2:13">
      <c r="C16" s="158" t="s">
        <v>165</v>
      </c>
      <c r="D16" s="170" t="s">
        <v>201</v>
      </c>
      <c r="E16" s="171"/>
      <c r="F16" s="183">
        <f ca="1">+' Comps Valuation'!J38</f>
        <v>7.7751051454138747</v>
      </c>
      <c r="G16" s="183">
        <f ca="1">+' Comps Valuation'!J39</f>
        <v>8.5526156599552632</v>
      </c>
      <c r="H16" s="160"/>
      <c r="I16" s="245" t="str">
        <f t="shared" si="0"/>
        <v>Comparables P/E</v>
      </c>
      <c r="J16" s="246"/>
      <c r="K16" s="247">
        <f ca="1">F16</f>
        <v>7.7751051454138747</v>
      </c>
      <c r="L16" s="248">
        <f t="shared" ca="1" si="1"/>
        <v>0.77751051454138853</v>
      </c>
      <c r="M16" s="249">
        <f t="shared" ca="1" si="2"/>
        <v>8.5526156599552632</v>
      </c>
    </row>
    <row r="17" spans="3:21">
      <c r="E17" s="171"/>
      <c r="F17" s="172"/>
      <c r="G17" s="172"/>
      <c r="H17" s="160"/>
    </row>
    <row r="18" spans="3:21">
      <c r="C18" s="166"/>
      <c r="E18" s="171"/>
      <c r="F18" s="172"/>
      <c r="G18" s="172"/>
      <c r="H18" s="160"/>
    </row>
    <row r="19" spans="3:21">
      <c r="D19" s="170"/>
      <c r="F19" s="172"/>
      <c r="G19" s="172"/>
    </row>
    <row r="20" spans="3:21">
      <c r="C20" s="229"/>
      <c r="D20" s="170"/>
    </row>
    <row r="21" spans="3:21">
      <c r="D21" s="170"/>
      <c r="F21" s="183"/>
      <c r="G21" s="183"/>
    </row>
    <row r="22" spans="3:21" ht="16">
      <c r="C22" s="170"/>
      <c r="D22" s="170"/>
      <c r="I22" s="184"/>
    </row>
    <row r="23" spans="3:21" ht="16">
      <c r="C23" s="170"/>
      <c r="I23" s="184"/>
      <c r="M23" s="183"/>
    </row>
    <row r="24" spans="3:21" ht="16">
      <c r="I24" s="184"/>
      <c r="L24" s="183"/>
      <c r="M24" s="183"/>
    </row>
    <row r="25" spans="3:21" ht="16">
      <c r="I25" s="184"/>
      <c r="L25" s="183"/>
      <c r="M25" s="183"/>
      <c r="T25" s="183"/>
    </row>
    <row r="26" spans="3:21" ht="16">
      <c r="I26" s="184"/>
      <c r="L26" s="183"/>
      <c r="T26" s="183"/>
    </row>
    <row r="27" spans="3:21" ht="16">
      <c r="I27" s="184"/>
    </row>
    <row r="28" spans="3:21" ht="16">
      <c r="H28" s="186"/>
      <c r="I28" s="184"/>
      <c r="U28" s="403"/>
    </row>
    <row r="29" spans="3:21" ht="16">
      <c r="E29" s="185"/>
      <c r="F29" s="186"/>
      <c r="G29" s="184"/>
      <c r="H29" s="186"/>
      <c r="U29" s="403"/>
    </row>
    <row r="30" spans="3:21" ht="16">
      <c r="D30" s="185"/>
      <c r="E30" s="185"/>
      <c r="F30" s="186"/>
      <c r="G30" s="184"/>
      <c r="H30" s="186"/>
      <c r="U30" s="403"/>
    </row>
    <row r="31" spans="3:21" ht="16">
      <c r="D31" s="185"/>
      <c r="E31" s="185"/>
      <c r="F31" s="186"/>
      <c r="G31" s="184"/>
      <c r="H31" s="188"/>
      <c r="U31" s="403"/>
    </row>
    <row r="32" spans="3:21" ht="16">
      <c r="D32" s="185"/>
      <c r="E32" s="185"/>
      <c r="F32" s="186"/>
      <c r="G32" s="184"/>
      <c r="H32" s="184"/>
      <c r="U32" s="403"/>
    </row>
    <row r="33" spans="4:21" ht="16">
      <c r="D33" s="187"/>
      <c r="E33" s="185"/>
      <c r="F33" s="186"/>
      <c r="G33" s="184"/>
      <c r="H33" s="184"/>
      <c r="U33" s="403"/>
    </row>
    <row r="34" spans="4:21" ht="16">
      <c r="D34" s="185"/>
      <c r="E34" s="185"/>
      <c r="F34" s="186"/>
      <c r="G34" s="184"/>
      <c r="U34" s="403"/>
    </row>
    <row r="35" spans="4:21" ht="16">
      <c r="D35" s="185"/>
      <c r="U35" s="403"/>
    </row>
    <row r="36" spans="4:21">
      <c r="U36" s="403"/>
    </row>
    <row r="37" spans="4:21">
      <c r="U37" s="403"/>
    </row>
    <row r="38" spans="4:21">
      <c r="U38" s="403"/>
    </row>
  </sheetData>
  <mergeCells count="2">
    <mergeCell ref="K9:M9"/>
    <mergeCell ref="U28:U38"/>
  </mergeCells>
  <pageMargins left="0.7" right="0.7" top="0.75" bottom="0.75" header="0.3" footer="0.3"/>
  <pageSetup scale="5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B7D8-FE97-5442-B950-8A2C008E2577}">
  <sheetPr>
    <pageSetUpPr fitToPage="1"/>
  </sheetPr>
  <dimension ref="C1:O26"/>
  <sheetViews>
    <sheetView showGridLines="0" view="pageBreakPreview" zoomScale="93" zoomScaleNormal="60" zoomScaleSheetLayoutView="93" workbookViewId="0">
      <selection activeCell="I15" sqref="I15"/>
    </sheetView>
  </sheetViews>
  <sheetFormatPr baseColWidth="10" defaultColWidth="11" defaultRowHeight="16"/>
  <cols>
    <col min="1" max="2" width="3.59765625" style="1" customWidth="1"/>
    <col min="3" max="3" width="58.3984375" style="1" customWidth="1"/>
    <col min="4" max="11" width="15.59765625" style="1" customWidth="1"/>
    <col min="12" max="12" width="3.59765625" style="1" customWidth="1"/>
    <col min="13" max="16384" width="11" style="1"/>
  </cols>
  <sheetData>
    <row r="1" spans="3:11">
      <c r="C1"/>
    </row>
    <row r="2" spans="3:11">
      <c r="C2"/>
    </row>
    <row r="3" spans="3:11" ht="17">
      <c r="C3" s="292" t="str">
        <f>'Income Statement'!D3</f>
        <v>GAMESTOP  (NYSE: GME)</v>
      </c>
    </row>
    <row r="4" spans="3:11">
      <c r="C4"/>
    </row>
    <row r="5" spans="3:11">
      <c r="D5" s="52" t="s">
        <v>58</v>
      </c>
      <c r="E5" s="52"/>
      <c r="F5" s="52"/>
      <c r="G5" s="52"/>
      <c r="H5" s="52"/>
      <c r="I5" s="51" t="s">
        <v>57</v>
      </c>
      <c r="J5" s="50"/>
      <c r="K5" s="50"/>
    </row>
    <row r="6" spans="3:11">
      <c r="D6" s="351">
        <f>+'Income Statement'!E6</f>
        <v>44227</v>
      </c>
      <c r="E6" s="351">
        <f>EOMONTH(D6,12)</f>
        <v>44592</v>
      </c>
      <c r="F6" s="351">
        <f t="shared" ref="F6:K6" si="0">EOMONTH(E6,12)</f>
        <v>44957</v>
      </c>
      <c r="G6" s="351">
        <f t="shared" si="0"/>
        <v>45322</v>
      </c>
      <c r="H6" s="351">
        <f t="shared" si="0"/>
        <v>45688</v>
      </c>
      <c r="I6" s="351">
        <f t="shared" si="0"/>
        <v>46053</v>
      </c>
      <c r="J6" s="351">
        <f t="shared" si="0"/>
        <v>46418</v>
      </c>
      <c r="K6" s="351">
        <f t="shared" si="0"/>
        <v>46783</v>
      </c>
    </row>
    <row r="7" spans="3:11">
      <c r="C7" s="57"/>
      <c r="D7" s="57"/>
      <c r="E7" s="57"/>
      <c r="F7" s="57"/>
      <c r="G7" s="57"/>
      <c r="H7" s="57"/>
      <c r="I7" s="57"/>
      <c r="J7" s="57"/>
      <c r="K7" s="57"/>
    </row>
    <row r="8" spans="3:11">
      <c r="C8" s="56"/>
      <c r="D8" s="53"/>
      <c r="E8" s="53"/>
      <c r="F8" s="53"/>
      <c r="G8" s="53"/>
      <c r="H8" s="53"/>
      <c r="I8" s="343"/>
      <c r="J8" s="343"/>
      <c r="K8" s="343"/>
    </row>
    <row r="9" spans="3:11">
      <c r="C9" s="56"/>
      <c r="D9" s="53"/>
      <c r="E9" s="53"/>
      <c r="F9" s="53"/>
      <c r="G9" s="53"/>
      <c r="H9" s="53"/>
      <c r="I9" s="250"/>
      <c r="J9" s="250"/>
      <c r="K9" s="250"/>
    </row>
    <row r="10" spans="3:11">
      <c r="C10" s="57" t="s">
        <v>256</v>
      </c>
      <c r="D10" s="57">
        <v>2531</v>
      </c>
      <c r="E10" s="57">
        <v>3172</v>
      </c>
      <c r="F10" s="57">
        <v>3140</v>
      </c>
      <c r="G10" s="57">
        <v>2997</v>
      </c>
      <c r="H10" s="57">
        <v>2100</v>
      </c>
      <c r="I10" s="57">
        <f>H10*(1+I11)</f>
        <v>2310</v>
      </c>
      <c r="J10" s="57">
        <f>I10*(1+J11)</f>
        <v>2494.8000000000002</v>
      </c>
      <c r="K10" s="57">
        <f t="shared" ref="K10" si="1">J10*(1+K11)</f>
        <v>2669.4360000000001</v>
      </c>
    </row>
    <row r="11" spans="3:11">
      <c r="C11" s="56" t="s">
        <v>61</v>
      </c>
      <c r="D11" s="53"/>
      <c r="E11" s="53">
        <f t="shared" ref="E11" si="2">IFERROR((E10/D10)-1,0)</f>
        <v>0.25325958119320435</v>
      </c>
      <c r="F11" s="53">
        <f t="shared" ref="F11" si="3">IFERROR((F10/E10)-1,0)</f>
        <v>-1.0088272383354302E-2</v>
      </c>
      <c r="G11" s="53">
        <f t="shared" ref="G11" si="4">IFERROR((G10/F10)-1,0)</f>
        <v>-4.5541401273885396E-2</v>
      </c>
      <c r="H11" s="53">
        <f>IFERROR((H10/G10)-1,0)</f>
        <v>-0.29929929929929933</v>
      </c>
      <c r="I11" s="282">
        <v>0.1</v>
      </c>
      <c r="J11" s="282">
        <v>0.08</v>
      </c>
      <c r="K11" s="282">
        <v>7.0000000000000007E-2</v>
      </c>
    </row>
    <row r="12" spans="3:11">
      <c r="C12" s="56"/>
      <c r="D12" s="53"/>
      <c r="E12" s="53"/>
      <c r="F12" s="53"/>
      <c r="G12" s="53"/>
      <c r="H12" s="53"/>
      <c r="I12" s="343"/>
      <c r="J12" s="343"/>
      <c r="K12" s="343"/>
    </row>
    <row r="13" spans="3:11">
      <c r="C13" s="57" t="s">
        <v>257</v>
      </c>
      <c r="D13" s="344">
        <v>1979</v>
      </c>
      <c r="E13" s="344">
        <v>2015</v>
      </c>
      <c r="F13" s="344">
        <v>1823</v>
      </c>
      <c r="G13" s="344">
        <v>1522</v>
      </c>
      <c r="H13" s="344">
        <v>1005</v>
      </c>
      <c r="I13" s="345">
        <v>1005</v>
      </c>
      <c r="J13" s="345">
        <f>I13*(1+J14)</f>
        <v>1085.4000000000001</v>
      </c>
      <c r="K13" s="345">
        <f>J13*(1+K14)</f>
        <v>1172.2320000000002</v>
      </c>
    </row>
    <row r="14" spans="3:11">
      <c r="C14" s="56" t="s">
        <v>172</v>
      </c>
      <c r="D14" s="53"/>
      <c r="E14" s="53">
        <f t="shared" ref="E14:G14" si="5">IFERROR((E13/D13)-1,0)</f>
        <v>1.8191005558362727E-2</v>
      </c>
      <c r="F14" s="53">
        <f t="shared" si="5"/>
        <v>-9.5285359801488889E-2</v>
      </c>
      <c r="G14" s="53">
        <f t="shared" si="5"/>
        <v>-0.16511245200219415</v>
      </c>
      <c r="H14" s="53">
        <f>IFERROR((H13/G13)-1,0)</f>
        <v>-0.33968462549277267</v>
      </c>
      <c r="I14" s="282">
        <v>0.12</v>
      </c>
      <c r="J14" s="282">
        <v>0.08</v>
      </c>
      <c r="K14" s="282">
        <v>0.08</v>
      </c>
    </row>
    <row r="15" spans="3:11">
      <c r="C15" s="56"/>
      <c r="D15" s="53"/>
      <c r="E15" s="53"/>
      <c r="F15" s="53"/>
      <c r="G15" s="53"/>
      <c r="H15" s="53"/>
      <c r="I15" s="343"/>
      <c r="J15" s="343"/>
      <c r="K15" s="343"/>
    </row>
    <row r="16" spans="3:11">
      <c r="C16" s="57" t="s">
        <v>258</v>
      </c>
      <c r="D16" s="344">
        <v>580</v>
      </c>
      <c r="E16" s="344">
        <v>824</v>
      </c>
      <c r="F16" s="344">
        <v>965</v>
      </c>
      <c r="G16" s="344">
        <v>754</v>
      </c>
      <c r="H16" s="344">
        <v>718</v>
      </c>
      <c r="I16" s="345">
        <v>718</v>
      </c>
      <c r="J16" s="345">
        <f>I16*(1+J17)</f>
        <v>761.08</v>
      </c>
      <c r="K16" s="345">
        <f>J16*(1+K17)</f>
        <v>791.52320000000009</v>
      </c>
    </row>
    <row r="17" spans="3:15">
      <c r="C17" s="56" t="s">
        <v>172</v>
      </c>
      <c r="D17" s="53"/>
      <c r="E17" s="53">
        <f t="shared" ref="E17" si="6">IFERROR((E16/D16)-1,0)</f>
        <v>0.42068965517241375</v>
      </c>
      <c r="F17" s="53">
        <f t="shared" ref="F17" si="7">IFERROR((F16/E16)-1,0)</f>
        <v>0.17111650485436902</v>
      </c>
      <c r="G17" s="53">
        <f t="shared" ref="G17" si="8">IFERROR((G16/F16)-1,0)</f>
        <v>-0.21865284974093269</v>
      </c>
      <c r="H17" s="53">
        <f>IFERROR((H16/G16)-1,0)</f>
        <v>-4.7745358090185652E-2</v>
      </c>
      <c r="I17" s="282">
        <v>0.08</v>
      </c>
      <c r="J17" s="282">
        <v>0.06</v>
      </c>
      <c r="K17" s="282">
        <v>0.04</v>
      </c>
    </row>
    <row r="19" spans="3:15" ht="17" thickBot="1">
      <c r="C19" s="55" t="s">
        <v>60</v>
      </c>
      <c r="D19" s="55">
        <f>SUM(D10,D13,D16)</f>
        <v>5090</v>
      </c>
      <c r="E19" s="55">
        <f t="shared" ref="E19:K19" si="9">SUM(E10,E13,E16)</f>
        <v>6011</v>
      </c>
      <c r="F19" s="55">
        <f t="shared" si="9"/>
        <v>5928</v>
      </c>
      <c r="G19" s="55">
        <f t="shared" si="9"/>
        <v>5273</v>
      </c>
      <c r="H19" s="55">
        <f>SUM(H10,H13,H16)</f>
        <v>3823</v>
      </c>
      <c r="I19" s="55">
        <f>SUM(I10,I13,I16)</f>
        <v>4033</v>
      </c>
      <c r="J19" s="55">
        <f>SUM(J10,J13,J16)</f>
        <v>4341.2800000000007</v>
      </c>
      <c r="K19" s="55">
        <f t="shared" si="9"/>
        <v>4633.1912000000011</v>
      </c>
    </row>
    <row r="20" spans="3:15" ht="17" thickTop="1">
      <c r="C20" s="54" t="s">
        <v>59</v>
      </c>
      <c r="E20" s="53">
        <f>(E19/D19)-1</f>
        <v>0.18094302554027508</v>
      </c>
      <c r="F20" s="53">
        <f t="shared" ref="F20:K20" si="10">(F19/E19)-1</f>
        <v>-1.3808018632507024E-2</v>
      </c>
      <c r="G20" s="53">
        <f t="shared" si="10"/>
        <v>-0.1104925775978407</v>
      </c>
      <c r="H20" s="53">
        <f>(H19/G19)-1</f>
        <v>-0.27498577659776213</v>
      </c>
      <c r="I20" s="53">
        <f>(I19/H19)-1</f>
        <v>5.4930682709913636E-2</v>
      </c>
      <c r="J20" s="53">
        <f>(J19/I19)-1</f>
        <v>7.6439375154971678E-2</v>
      </c>
      <c r="K20" s="53">
        <f t="shared" si="10"/>
        <v>6.7240813769211094E-2</v>
      </c>
    </row>
    <row r="21" spans="3:15">
      <c r="O21" s="58"/>
    </row>
    <row r="22" spans="3:15">
      <c r="C22" s="2"/>
    </row>
    <row r="23" spans="3:15">
      <c r="C23" s="346" t="s">
        <v>173</v>
      </c>
      <c r="D23" s="271">
        <v>0.75</v>
      </c>
      <c r="E23" s="271">
        <v>0.75</v>
      </c>
      <c r="F23" s="271">
        <v>0.75</v>
      </c>
      <c r="G23" s="271">
        <v>0.75</v>
      </c>
      <c r="H23" s="271">
        <v>0.75</v>
      </c>
      <c r="I23" s="289">
        <f>I10/I19</f>
        <v>0.57277460947185721</v>
      </c>
      <c r="J23" s="289">
        <f>J10/J19</f>
        <v>0.57466922198061399</v>
      </c>
      <c r="K23" s="289">
        <f t="shared" ref="K23" si="11">K10/K19</f>
        <v>0.57615494046522397</v>
      </c>
    </row>
    <row r="24" spans="3:15">
      <c r="C24" s="346" t="s">
        <v>174</v>
      </c>
      <c r="D24" s="271">
        <v>0.25</v>
      </c>
      <c r="E24" s="271">
        <v>0.25</v>
      </c>
      <c r="F24" s="271">
        <v>0.25</v>
      </c>
      <c r="G24" s="271">
        <v>0.25</v>
      </c>
      <c r="H24" s="271">
        <v>0.25</v>
      </c>
      <c r="I24" s="289">
        <f>I10/I19</f>
        <v>0.57277460947185721</v>
      </c>
      <c r="J24" s="289">
        <f t="shared" ref="J24:K24" si="12">J10/J19</f>
        <v>0.57466922198061399</v>
      </c>
      <c r="K24" s="289">
        <f t="shared" si="12"/>
        <v>0.57615494046522397</v>
      </c>
    </row>
    <row r="25" spans="3:15">
      <c r="C25" s="346" t="s">
        <v>175</v>
      </c>
      <c r="D25" s="271">
        <v>0</v>
      </c>
      <c r="E25" s="271">
        <v>0</v>
      </c>
      <c r="F25" s="271">
        <v>0</v>
      </c>
      <c r="G25" s="271">
        <v>0</v>
      </c>
      <c r="H25" s="271">
        <v>0</v>
      </c>
      <c r="I25" s="289">
        <f>I13/I19</f>
        <v>0.2491941482767171</v>
      </c>
      <c r="J25" s="289">
        <f t="shared" ref="J25:K25" si="13">J13/J19</f>
        <v>0.25001842774481259</v>
      </c>
      <c r="K25" s="289">
        <f t="shared" si="13"/>
        <v>0.25300747355300163</v>
      </c>
    </row>
    <row r="26" spans="3:15">
      <c r="C26" s="346" t="s">
        <v>175</v>
      </c>
      <c r="D26" s="271">
        <v>0</v>
      </c>
      <c r="E26" s="271">
        <v>0</v>
      </c>
      <c r="F26" s="271">
        <v>0</v>
      </c>
      <c r="G26" s="271">
        <v>0</v>
      </c>
      <c r="H26" s="271">
        <v>0</v>
      </c>
      <c r="I26" s="289">
        <f>I16/I19</f>
        <v>0.17803124225142575</v>
      </c>
      <c r="J26" s="289">
        <f t="shared" ref="J26:K26" si="14">J16/J19</f>
        <v>0.17531235027457337</v>
      </c>
      <c r="K26" s="289">
        <f t="shared" si="14"/>
        <v>0.17083758598177426</v>
      </c>
    </row>
  </sheetData>
  <pageMargins left="0.7" right="0.7" top="0.75" bottom="0.75" header="0.3" footer="0.3"/>
  <pageSetup scale="53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F603-3544-6849-B319-70DE15E3D098}">
  <sheetPr>
    <pageSetUpPr fitToPage="1"/>
  </sheetPr>
  <dimension ref="C1:I30"/>
  <sheetViews>
    <sheetView showGridLines="0" view="pageBreakPreview" zoomScale="82" zoomScaleNormal="71" zoomScaleSheetLayoutView="82" workbookViewId="0">
      <selection activeCell="C43" sqref="C43"/>
    </sheetView>
  </sheetViews>
  <sheetFormatPr baseColWidth="10" defaultColWidth="11" defaultRowHeight="16"/>
  <cols>
    <col min="1" max="2" width="3.59765625" style="1" customWidth="1"/>
    <col min="3" max="3" width="82.59765625" style="1" bestFit="1" customWidth="1"/>
    <col min="4" max="4" width="13.19921875" style="1" bestFit="1" customWidth="1"/>
    <col min="5" max="5" width="13.3984375" style="1" bestFit="1" customWidth="1"/>
    <col min="6" max="8" width="13.19921875" style="1" bestFit="1" customWidth="1"/>
    <col min="9" max="9" width="3.59765625" style="1" customWidth="1"/>
    <col min="10" max="16384" width="11" style="1"/>
  </cols>
  <sheetData>
    <row r="1" spans="3:9" ht="8" customHeight="1"/>
    <row r="3" spans="3:9" ht="17">
      <c r="C3" s="293" t="str">
        <f>'Income Statement'!D3</f>
        <v>GAMESTOP  (NYSE: GME)</v>
      </c>
    </row>
    <row r="5" spans="3:9" ht="17">
      <c r="C5" s="62" t="s">
        <v>64</v>
      </c>
      <c r="D5" s="52" t="s">
        <v>58</v>
      </c>
      <c r="E5" s="52"/>
      <c r="F5" s="52"/>
      <c r="G5" s="52"/>
      <c r="H5" s="52"/>
      <c r="I5" s="61"/>
    </row>
    <row r="6" spans="3:9">
      <c r="C6" s="60" t="s">
        <v>63</v>
      </c>
      <c r="D6" s="377">
        <f>+'Income Statement'!E6</f>
        <v>44227</v>
      </c>
      <c r="E6" s="377">
        <f>EOMONTH(D6,12)</f>
        <v>44592</v>
      </c>
      <c r="F6" s="377">
        <f t="shared" ref="F6:H6" si="0">EOMONTH(E6,12)</f>
        <v>44957</v>
      </c>
      <c r="G6" s="377">
        <f t="shared" si="0"/>
        <v>45322</v>
      </c>
      <c r="H6" s="377">
        <f t="shared" si="0"/>
        <v>45688</v>
      </c>
    </row>
    <row r="7" spans="3:9">
      <c r="C7" s="49"/>
      <c r="D7" s="48"/>
      <c r="E7" s="48"/>
      <c r="F7" s="48"/>
      <c r="G7" s="48"/>
      <c r="H7" s="48"/>
    </row>
    <row r="8" spans="3:9">
      <c r="C8" s="34" t="s">
        <v>20</v>
      </c>
      <c r="D8" s="32">
        <f>'Income Statement'!E31</f>
        <v>-172.50000000000006</v>
      </c>
      <c r="E8" s="32">
        <f>'Income Statement'!F31</f>
        <v>-262.0999999999998</v>
      </c>
      <c r="F8" s="32">
        <f>'Income Statement'!G31</f>
        <v>-242.00000000000054</v>
      </c>
      <c r="G8" s="32">
        <f>'Income Statement'!H31</f>
        <v>-255.69999999999982</v>
      </c>
      <c r="H8" s="32">
        <v>541.79999999999995</v>
      </c>
    </row>
    <row r="9" spans="3:9">
      <c r="C9" s="34" t="s">
        <v>207</v>
      </c>
      <c r="D9" s="32">
        <v>-470.9</v>
      </c>
      <c r="E9" s="32">
        <v>-215.3</v>
      </c>
      <c r="F9" s="32">
        <v>-381.3</v>
      </c>
      <c r="G9" s="32">
        <v>-313.10000000000002</v>
      </c>
      <c r="H9" s="32">
        <v>6.7</v>
      </c>
    </row>
    <row r="10" spans="3:9">
      <c r="C10" s="34" t="s">
        <v>208</v>
      </c>
      <c r="D10" s="59">
        <v>554</v>
      </c>
      <c r="E10" s="59">
        <v>155.6</v>
      </c>
      <c r="F10" s="59">
        <v>121.7</v>
      </c>
      <c r="G10" s="59">
        <v>104.4</v>
      </c>
      <c r="H10" s="32">
        <v>84.6</v>
      </c>
    </row>
    <row r="11" spans="3:9">
      <c r="C11" s="34" t="s">
        <v>209</v>
      </c>
      <c r="D11" s="32">
        <v>-510.8</v>
      </c>
      <c r="E11" s="32">
        <v>183.9</v>
      </c>
      <c r="F11" s="32">
        <v>-172.7</v>
      </c>
      <c r="G11" s="32">
        <v>288.89999999999998</v>
      </c>
      <c r="H11" s="32">
        <v>-293</v>
      </c>
    </row>
    <row r="12" spans="3:9">
      <c r="C12" s="41" t="s">
        <v>218</v>
      </c>
      <c r="D12" s="40">
        <f>SUM(D9:D11)</f>
        <v>-427.7</v>
      </c>
      <c r="E12" s="40">
        <f>SUM(E9:E11)</f>
        <v>124.19999999999999</v>
      </c>
      <c r="F12" s="40">
        <f>SUM(F9:F11)</f>
        <v>-432.3</v>
      </c>
      <c r="G12" s="40">
        <f>SUM(G9:G11)</f>
        <v>80.19999999999996</v>
      </c>
      <c r="H12" s="40">
        <f>SUM(H9:H11)</f>
        <v>-201.7</v>
      </c>
    </row>
    <row r="13" spans="3:9">
      <c r="C13" s="47"/>
      <c r="D13" s="66"/>
      <c r="E13" s="66"/>
      <c r="F13" s="66"/>
      <c r="G13" s="66"/>
      <c r="H13" s="66"/>
    </row>
    <row r="14" spans="3:9">
      <c r="C14" s="389" t="s">
        <v>221</v>
      </c>
      <c r="D14" s="388">
        <v>17.600000000000001</v>
      </c>
      <c r="E14" s="388">
        <v>96.9</v>
      </c>
      <c r="F14" s="388">
        <v>-2.8</v>
      </c>
      <c r="G14" s="388">
        <v>82.5</v>
      </c>
      <c r="H14" s="388">
        <v>15.9</v>
      </c>
    </row>
    <row r="15" spans="3:9">
      <c r="C15" s="389" t="s">
        <v>211</v>
      </c>
      <c r="D15" s="66">
        <v>0</v>
      </c>
      <c r="E15" s="66">
        <v>0</v>
      </c>
      <c r="F15" s="66">
        <v>0</v>
      </c>
      <c r="G15" s="66">
        <v>-276.8</v>
      </c>
      <c r="H15" s="66">
        <v>-326.8</v>
      </c>
    </row>
    <row r="16" spans="3:9">
      <c r="C16" s="389" t="s">
        <v>212</v>
      </c>
      <c r="D16" s="32">
        <v>0</v>
      </c>
      <c r="E16" s="32">
        <v>0</v>
      </c>
      <c r="F16" s="32">
        <v>0</v>
      </c>
      <c r="G16" s="32">
        <v>27.5</v>
      </c>
      <c r="H16" s="32">
        <v>312.60000000000002</v>
      </c>
    </row>
    <row r="17" spans="3:8">
      <c r="C17" s="389" t="s">
        <v>213</v>
      </c>
      <c r="D17" s="32">
        <v>-78.5</v>
      </c>
      <c r="E17" s="32">
        <v>-60</v>
      </c>
      <c r="F17" s="32">
        <v>-62</v>
      </c>
      <c r="G17" s="32">
        <v>-55.9</v>
      </c>
      <c r="H17" s="32">
        <v>-34.9</v>
      </c>
    </row>
    <row r="18" spans="3:8">
      <c r="C18" s="41" t="s">
        <v>219</v>
      </c>
      <c r="D18" s="40">
        <f>SUM(D14:D17)</f>
        <v>-60.9</v>
      </c>
      <c r="E18" s="40">
        <f>SUM(E14:E17)</f>
        <v>36.900000000000006</v>
      </c>
      <c r="F18" s="40">
        <f>SUM(F14:F17)</f>
        <v>-64.8</v>
      </c>
      <c r="G18" s="40">
        <f>SUM(G14:G17)</f>
        <v>-222.70000000000002</v>
      </c>
      <c r="H18" s="40">
        <f>SUM(H14:H17)</f>
        <v>-33.20000000000001</v>
      </c>
    </row>
    <row r="19" spans="3:8">
      <c r="C19" s="34"/>
      <c r="D19" s="32"/>
      <c r="E19" s="32"/>
      <c r="F19" s="32"/>
      <c r="G19" s="32"/>
      <c r="H19" s="32"/>
    </row>
    <row r="20" spans="3:8">
      <c r="C20" s="389" t="s">
        <v>214</v>
      </c>
      <c r="D20" s="32">
        <v>0</v>
      </c>
      <c r="E20" s="32">
        <v>0</v>
      </c>
      <c r="F20" s="32">
        <v>1672.8</v>
      </c>
      <c r="G20" s="32">
        <v>0</v>
      </c>
      <c r="H20" s="32">
        <v>0</v>
      </c>
    </row>
    <row r="21" spans="3:8">
      <c r="C21" s="389" t="s">
        <v>215</v>
      </c>
      <c r="D21" s="32">
        <v>-404.5</v>
      </c>
      <c r="E21" s="32">
        <v>-130.30000000000001</v>
      </c>
      <c r="F21" s="32">
        <v>-307.39999999999998</v>
      </c>
      <c r="G21" s="32">
        <v>0</v>
      </c>
      <c r="H21" s="32">
        <v>0</v>
      </c>
    </row>
    <row r="22" spans="3:8">
      <c r="C22" s="389" t="s">
        <v>216</v>
      </c>
      <c r="D22" s="32">
        <v>-40.5</v>
      </c>
      <c r="E22" s="32">
        <v>-0.3</v>
      </c>
      <c r="F22" s="32">
        <v>0</v>
      </c>
      <c r="G22" s="32">
        <v>0</v>
      </c>
      <c r="H22" s="32">
        <v>0</v>
      </c>
    </row>
    <row r="23" spans="3:8">
      <c r="C23" s="389" t="s">
        <v>217</v>
      </c>
      <c r="D23" s="32">
        <v>-199.7</v>
      </c>
      <c r="E23" s="32">
        <v>75.2</v>
      </c>
      <c r="F23" s="32">
        <v>-164.8</v>
      </c>
      <c r="G23" s="32">
        <v>-7.9</v>
      </c>
      <c r="H23" s="32">
        <v>-11.6</v>
      </c>
    </row>
    <row r="24" spans="3:8">
      <c r="C24" s="41" t="s">
        <v>220</v>
      </c>
      <c r="D24" s="40">
        <f>SUM(D20:D23)</f>
        <v>-644.70000000000005</v>
      </c>
      <c r="E24" s="40">
        <f>SUM(E20:E23)</f>
        <v>-55.40000000000002</v>
      </c>
      <c r="F24" s="40">
        <f t="shared" ref="F24:H24" si="1">SUM(F20:F23)</f>
        <v>1200.6000000000001</v>
      </c>
      <c r="G24" s="40">
        <f t="shared" si="1"/>
        <v>-7.9</v>
      </c>
      <c r="H24" s="40">
        <f t="shared" si="1"/>
        <v>-11.6</v>
      </c>
    </row>
    <row r="26" spans="3:8">
      <c r="C26"/>
    </row>
    <row r="27" spans="3:8">
      <c r="C27" s="390" t="s">
        <v>210</v>
      </c>
      <c r="D27" s="1">
        <v>-6.9</v>
      </c>
      <c r="E27" s="1">
        <v>16.3</v>
      </c>
      <c r="F27" s="1">
        <v>-16.600000000000001</v>
      </c>
      <c r="G27" s="1">
        <v>-1.5</v>
      </c>
      <c r="H27" s="1">
        <v>-8.6</v>
      </c>
    </row>
    <row r="28" spans="3:8">
      <c r="C28" s="390" t="s">
        <v>222</v>
      </c>
      <c r="D28" s="1">
        <v>-1140.2</v>
      </c>
      <c r="E28" s="1">
        <v>122</v>
      </c>
      <c r="F28" s="1">
        <v>686.9</v>
      </c>
      <c r="G28" s="1">
        <v>-151.9</v>
      </c>
      <c r="H28" s="1">
        <v>-255.1</v>
      </c>
    </row>
    <row r="29" spans="3:8">
      <c r="C29" s="390" t="s">
        <v>224</v>
      </c>
      <c r="D29" s="1">
        <v>1640.5</v>
      </c>
      <c r="E29" s="1">
        <v>513.5</v>
      </c>
      <c r="F29" s="1">
        <v>635</v>
      </c>
      <c r="G29" s="1">
        <v>1319</v>
      </c>
      <c r="H29" s="1">
        <v>1196</v>
      </c>
    </row>
    <row r="30" spans="3:8">
      <c r="C30" s="390" t="s">
        <v>223</v>
      </c>
      <c r="D30" s="1">
        <v>500.3</v>
      </c>
      <c r="E30" s="1">
        <v>635.5</v>
      </c>
      <c r="F30" s="1">
        <v>1321.9</v>
      </c>
      <c r="G30" s="1">
        <v>1168</v>
      </c>
      <c r="H30" s="1">
        <v>940.9</v>
      </c>
    </row>
  </sheetData>
  <pageMargins left="0.7" right="0.7" top="0.75" bottom="0.75" header="0.3" footer="0.3"/>
  <pageSetup scale="6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2FF0-6520-8445-B290-041D6C8A4F89}">
  <sheetPr>
    <pageSetUpPr fitToPage="1"/>
  </sheetPr>
  <dimension ref="C1:J51"/>
  <sheetViews>
    <sheetView showGridLines="0" view="pageBreakPreview" zoomScale="82" zoomScaleNormal="56" workbookViewId="0">
      <selection activeCell="O42" sqref="O42"/>
    </sheetView>
  </sheetViews>
  <sheetFormatPr baseColWidth="10" defaultColWidth="11" defaultRowHeight="16"/>
  <cols>
    <col min="1" max="2" width="3.59765625" style="1" customWidth="1"/>
    <col min="3" max="3" width="47" style="1" bestFit="1" customWidth="1"/>
    <col min="4" max="4" width="13.19921875" style="1" customWidth="1"/>
    <col min="5" max="8" width="11.19921875" style="1" bestFit="1" customWidth="1"/>
    <col min="9" max="9" width="3.59765625" style="1" customWidth="1"/>
    <col min="10" max="16384" width="11" style="1"/>
  </cols>
  <sheetData>
    <row r="1" spans="3:10" ht="8" customHeight="1">
      <c r="C1"/>
      <c r="D1" s="189"/>
      <c r="E1" s="189"/>
      <c r="F1" s="189"/>
      <c r="G1" s="189"/>
      <c r="H1" s="189"/>
    </row>
    <row r="2" spans="3:10">
      <c r="C2"/>
      <c r="D2" s="189"/>
      <c r="E2" s="189"/>
      <c r="F2" s="189"/>
      <c r="G2" s="189"/>
      <c r="H2" s="189"/>
    </row>
    <row r="3" spans="3:10" ht="17">
      <c r="C3" s="294" t="str">
        <f>'Income Statement'!D3</f>
        <v>GAMESTOP  (NYSE: GME)</v>
      </c>
      <c r="D3" s="189"/>
      <c r="E3" s="189"/>
      <c r="F3" s="189"/>
      <c r="G3" s="189" t="s">
        <v>238</v>
      </c>
      <c r="H3" s="189"/>
    </row>
    <row r="4" spans="3:10">
      <c r="C4"/>
      <c r="D4" s="189"/>
      <c r="E4" s="189"/>
      <c r="F4" s="189"/>
      <c r="G4" s="189"/>
      <c r="H4" s="189"/>
    </row>
    <row r="5" spans="3:10" ht="17">
      <c r="C5" s="265" t="s">
        <v>86</v>
      </c>
      <c r="D5" s="266" t="s">
        <v>58</v>
      </c>
      <c r="E5" s="267"/>
      <c r="F5" s="267"/>
      <c r="G5" s="267"/>
      <c r="H5" s="267"/>
    </row>
    <row r="6" spans="3:10">
      <c r="C6" s="268" t="s">
        <v>85</v>
      </c>
      <c r="D6" s="378">
        <f>+'Income Statement'!E6</f>
        <v>44227</v>
      </c>
      <c r="E6" s="378">
        <f>EOMONTH(D6,12)</f>
        <v>44592</v>
      </c>
      <c r="F6" s="378">
        <f t="shared" ref="F6:H6" si="0">EOMONTH(E6,12)</f>
        <v>44957</v>
      </c>
      <c r="G6" s="378">
        <f t="shared" si="0"/>
        <v>45322</v>
      </c>
      <c r="H6" s="378">
        <f t="shared" si="0"/>
        <v>45688</v>
      </c>
      <c r="J6" s="49"/>
    </row>
    <row r="7" spans="3:10">
      <c r="C7" s="49"/>
      <c r="D7" s="48"/>
      <c r="E7" s="48"/>
      <c r="F7" s="48"/>
      <c r="G7" s="48"/>
      <c r="H7" s="48"/>
      <c r="J7" s="49"/>
    </row>
    <row r="8" spans="3:10">
      <c r="C8" s="68" t="s">
        <v>84</v>
      </c>
      <c r="D8" s="48"/>
      <c r="E8" s="48"/>
      <c r="F8" s="48"/>
      <c r="G8" s="48"/>
      <c r="H8" s="48"/>
      <c r="J8" s="49"/>
    </row>
    <row r="9" spans="3:10" ht="5" customHeight="1">
      <c r="C9" s="49"/>
      <c r="D9" s="48"/>
      <c r="E9" s="48"/>
      <c r="F9" s="48"/>
      <c r="G9" s="48"/>
      <c r="H9" s="48"/>
      <c r="J9" s="49"/>
    </row>
    <row r="10" spans="3:10">
      <c r="C10" s="49" t="s">
        <v>83</v>
      </c>
      <c r="D10" s="48"/>
      <c r="E10" s="48"/>
      <c r="F10" s="48"/>
      <c r="G10" s="48"/>
      <c r="H10" s="48"/>
      <c r="J10" s="49"/>
    </row>
    <row r="11" spans="3:10">
      <c r="C11" s="34" t="s">
        <v>82</v>
      </c>
      <c r="D11" s="32">
        <v>499.4</v>
      </c>
      <c r="E11" s="32">
        <v>508.5</v>
      </c>
      <c r="F11" s="32">
        <v>1271.4000000000001</v>
      </c>
      <c r="G11" s="32">
        <v>1139</v>
      </c>
      <c r="H11" s="32">
        <v>921.7</v>
      </c>
      <c r="J11" s="34"/>
    </row>
    <row r="12" spans="3:10">
      <c r="C12" s="34" t="s">
        <v>81</v>
      </c>
      <c r="D12" s="32">
        <v>141.9</v>
      </c>
      <c r="E12" s="32">
        <v>105.3</v>
      </c>
      <c r="F12" s="32">
        <v>141.1</v>
      </c>
      <c r="G12" s="32">
        <v>153.9</v>
      </c>
      <c r="H12" s="32">
        <v>91</v>
      </c>
      <c r="J12" s="34"/>
    </row>
    <row r="13" spans="3:10">
      <c r="C13" s="43" t="s">
        <v>80</v>
      </c>
      <c r="D13" s="32">
        <v>859.7</v>
      </c>
      <c r="E13" s="32">
        <v>602.5</v>
      </c>
      <c r="F13" s="32">
        <v>915</v>
      </c>
      <c r="G13" s="32">
        <v>682.9</v>
      </c>
      <c r="H13" s="32">
        <v>632.5</v>
      </c>
      <c r="J13" s="34"/>
    </row>
    <row r="14" spans="3:10">
      <c r="C14" s="34" t="s">
        <v>79</v>
      </c>
      <c r="D14" s="32">
        <v>120.9</v>
      </c>
      <c r="E14" s="32">
        <v>334.9</v>
      </c>
      <c r="F14" s="32">
        <v>271.3</v>
      </c>
      <c r="G14" s="32">
        <v>96.3</v>
      </c>
      <c r="H14" s="32">
        <v>51.4</v>
      </c>
      <c r="J14" s="34"/>
    </row>
    <row r="15" spans="3:10">
      <c r="C15" s="41" t="s">
        <v>78</v>
      </c>
      <c r="D15" s="40">
        <v>1633.7</v>
      </c>
      <c r="E15" s="40">
        <v>1551.2</v>
      </c>
      <c r="F15" s="40">
        <v>2598.8000000000002</v>
      </c>
      <c r="G15" s="40">
        <v>2323.6999999999998</v>
      </c>
      <c r="H15" s="40">
        <v>1974.2</v>
      </c>
      <c r="J15" s="34"/>
    </row>
    <row r="16" spans="3:10">
      <c r="C16" s="34"/>
      <c r="D16" s="32"/>
      <c r="E16" s="32"/>
      <c r="F16" s="32"/>
      <c r="G16" s="32"/>
      <c r="H16" s="32"/>
      <c r="J16" s="34"/>
    </row>
    <row r="17" spans="3:10">
      <c r="C17" s="47" t="s">
        <v>77</v>
      </c>
      <c r="D17" s="32"/>
      <c r="E17" s="32"/>
      <c r="F17" s="32"/>
      <c r="G17" s="32"/>
      <c r="H17" s="32"/>
      <c r="J17" s="34"/>
    </row>
    <row r="18" spans="3:10">
      <c r="C18" s="390" t="s">
        <v>225</v>
      </c>
      <c r="D18" s="32">
        <v>275.89999999999998</v>
      </c>
      <c r="E18" s="32">
        <v>201.2</v>
      </c>
      <c r="F18" s="32">
        <v>163.6</v>
      </c>
      <c r="G18" s="32">
        <v>136.5</v>
      </c>
      <c r="H18" s="32">
        <v>94.9</v>
      </c>
      <c r="J18" s="34"/>
    </row>
    <row r="19" spans="3:10">
      <c r="C19" s="390" t="s">
        <v>76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J19" s="34"/>
    </row>
    <row r="20" spans="3:10">
      <c r="C20" s="390" t="s">
        <v>226</v>
      </c>
      <c r="D20" s="32">
        <v>767</v>
      </c>
      <c r="E20" s="32">
        <v>662.1</v>
      </c>
      <c r="F20" s="32">
        <v>586.6</v>
      </c>
      <c r="G20" s="32">
        <v>560.79999999999995</v>
      </c>
      <c r="H20" s="32">
        <v>555.79999999999995</v>
      </c>
      <c r="J20" s="34"/>
    </row>
    <row r="21" spans="3:10">
      <c r="C21" s="390" t="s">
        <v>227</v>
      </c>
      <c r="D21" s="32">
        <v>143.1</v>
      </c>
      <c r="E21" s="32">
        <v>58.1</v>
      </c>
      <c r="F21" s="32">
        <v>150.30000000000001</v>
      </c>
      <c r="G21" s="32">
        <v>92.4</v>
      </c>
      <c r="H21" s="32">
        <v>84.1</v>
      </c>
      <c r="J21" s="34"/>
    </row>
    <row r="22" spans="3:10">
      <c r="C22" s="390" t="s">
        <v>228</v>
      </c>
      <c r="D22" s="32">
        <v>1186</v>
      </c>
      <c r="E22" s="32">
        <v>921.4</v>
      </c>
      <c r="F22" s="32">
        <v>900.5</v>
      </c>
      <c r="G22" s="32">
        <v>789.7</v>
      </c>
      <c r="H22" s="32">
        <v>734.8</v>
      </c>
      <c r="J22" s="34"/>
    </row>
    <row r="23" spans="3:10">
      <c r="C23" s="41" t="s">
        <v>75</v>
      </c>
      <c r="D23" s="40">
        <v>2819.7</v>
      </c>
      <c r="E23" s="40">
        <v>2472.6</v>
      </c>
      <c r="F23" s="40">
        <v>3499.3</v>
      </c>
      <c r="G23" s="40">
        <v>3113.4</v>
      </c>
      <c r="H23" s="40">
        <v>2709</v>
      </c>
      <c r="J23" s="34"/>
    </row>
    <row r="24" spans="3:10">
      <c r="C24" s="34"/>
      <c r="D24" s="32"/>
      <c r="E24" s="32"/>
      <c r="F24" s="32"/>
      <c r="G24" s="32"/>
      <c r="H24" s="32"/>
      <c r="J24" s="34"/>
    </row>
    <row r="25" spans="3:10" ht="17" thickBot="1">
      <c r="C25" s="38" t="s">
        <v>74</v>
      </c>
      <c r="D25" s="37">
        <f>SUM(D23,D15)</f>
        <v>4453.3999999999996</v>
      </c>
      <c r="E25" s="37">
        <f>SUM(E23,E15)</f>
        <v>4023.8</v>
      </c>
      <c r="F25" s="37">
        <f>SUM(F23,F15)</f>
        <v>6098.1</v>
      </c>
      <c r="G25" s="37">
        <f>SUM(G23,G15)</f>
        <v>5437.1</v>
      </c>
      <c r="H25" s="37">
        <f>SUM(H23,H15)</f>
        <v>4683.2</v>
      </c>
      <c r="J25" s="34"/>
    </row>
    <row r="26" spans="3:10" ht="17" thickTop="1">
      <c r="C26" s="47"/>
      <c r="D26" s="66"/>
      <c r="E26" s="66"/>
      <c r="F26" s="66"/>
      <c r="G26" s="66"/>
      <c r="H26" s="66"/>
      <c r="J26" s="34"/>
    </row>
    <row r="27" spans="3:10">
      <c r="C27" s="67" t="s">
        <v>73</v>
      </c>
      <c r="D27" s="66"/>
      <c r="E27" s="66"/>
      <c r="F27" s="66"/>
      <c r="G27" s="66"/>
      <c r="H27" s="66"/>
      <c r="J27" s="34"/>
    </row>
    <row r="28" spans="3:10" ht="5" customHeight="1">
      <c r="C28" s="47"/>
      <c r="D28" s="66"/>
      <c r="E28" s="66"/>
      <c r="F28" s="66"/>
      <c r="G28" s="66"/>
      <c r="H28" s="66"/>
      <c r="J28" s="34"/>
    </row>
    <row r="29" spans="3:10">
      <c r="C29" s="47" t="s">
        <v>72</v>
      </c>
      <c r="D29" s="32"/>
      <c r="E29" s="32"/>
      <c r="F29" s="32"/>
      <c r="G29" s="32"/>
      <c r="H29" s="32"/>
      <c r="J29" s="34"/>
    </row>
    <row r="30" spans="3:10">
      <c r="C30" s="390" t="s">
        <v>229</v>
      </c>
      <c r="D30" s="32">
        <v>380.8</v>
      </c>
      <c r="E30" s="59">
        <v>341.8</v>
      </c>
      <c r="F30" s="59">
        <v>471</v>
      </c>
      <c r="G30" s="32">
        <v>531.29999999999995</v>
      </c>
      <c r="H30" s="32">
        <v>324</v>
      </c>
      <c r="J30" s="34"/>
    </row>
    <row r="31" spans="3:10">
      <c r="C31" s="390" t="s">
        <v>71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J31" s="65"/>
    </row>
    <row r="32" spans="3:10">
      <c r="C32" s="390" t="s">
        <v>230</v>
      </c>
      <c r="D32" s="32">
        <v>239.4</v>
      </c>
      <c r="E32" s="32">
        <v>227.4</v>
      </c>
      <c r="F32" s="32">
        <v>210.7</v>
      </c>
      <c r="G32" s="32">
        <v>194.7</v>
      </c>
      <c r="H32" s="32">
        <v>187.7</v>
      </c>
      <c r="I32" s="39"/>
      <c r="J32" s="34"/>
    </row>
    <row r="33" spans="3:10">
      <c r="C33" s="390" t="s">
        <v>231</v>
      </c>
      <c r="D33" s="59">
        <v>617.5</v>
      </c>
      <c r="E33" s="59">
        <v>748.5</v>
      </c>
      <c r="F33" s="59">
        <v>673</v>
      </c>
      <c r="G33" s="59">
        <v>613.1</v>
      </c>
      <c r="H33" s="59">
        <v>422.8</v>
      </c>
      <c r="J33" s="34"/>
    </row>
    <row r="34" spans="3:10">
      <c r="C34" s="390" t="s">
        <v>70</v>
      </c>
      <c r="D34" s="32">
        <v>1237.7</v>
      </c>
      <c r="E34" s="32">
        <v>1342.7</v>
      </c>
      <c r="F34" s="32">
        <v>1354.7</v>
      </c>
      <c r="G34" s="32">
        <v>1339.1</v>
      </c>
      <c r="H34" s="32">
        <v>934.5</v>
      </c>
      <c r="J34" s="34"/>
    </row>
    <row r="35" spans="3:10">
      <c r="C35" s="41" t="s">
        <v>70</v>
      </c>
      <c r="D35" s="40">
        <f>D34</f>
        <v>1237.7</v>
      </c>
      <c r="E35" s="40">
        <f t="shared" ref="E35:H35" si="1">E34</f>
        <v>1342.7</v>
      </c>
      <c r="F35" s="40">
        <f t="shared" si="1"/>
        <v>1354.7</v>
      </c>
      <c r="G35" s="40">
        <f t="shared" si="1"/>
        <v>1339.1</v>
      </c>
      <c r="H35" s="40">
        <f t="shared" si="1"/>
        <v>934.5</v>
      </c>
      <c r="J35" s="34"/>
    </row>
    <row r="36" spans="3:10">
      <c r="C36" s="34"/>
      <c r="D36" s="32"/>
      <c r="E36" s="32"/>
      <c r="F36" s="32"/>
      <c r="G36" s="32"/>
      <c r="H36" s="32"/>
      <c r="J36" s="34"/>
    </row>
    <row r="37" spans="3:10">
      <c r="C37" s="47" t="s">
        <v>69</v>
      </c>
      <c r="D37" s="32"/>
      <c r="E37" s="32"/>
      <c r="F37" s="32"/>
      <c r="G37" s="32"/>
      <c r="H37" s="32"/>
      <c r="J37" s="34"/>
    </row>
    <row r="38" spans="3:10">
      <c r="C38" s="390" t="s">
        <v>237</v>
      </c>
      <c r="D38" s="32">
        <v>529.29999999999995</v>
      </c>
      <c r="E38" s="32">
        <v>456.7</v>
      </c>
      <c r="F38" s="32">
        <v>393.7</v>
      </c>
      <c r="G38" s="32">
        <v>382.4</v>
      </c>
      <c r="H38" s="32">
        <v>386.6</v>
      </c>
      <c r="J38" s="34"/>
    </row>
    <row r="39" spans="3:10">
      <c r="C39" s="390" t="s">
        <v>236</v>
      </c>
      <c r="D39" s="32">
        <v>21.4</v>
      </c>
      <c r="E39" s="32">
        <v>20.5</v>
      </c>
      <c r="F39" s="32">
        <v>107.9</v>
      </c>
      <c r="G39" s="32">
        <v>40.9</v>
      </c>
      <c r="H39" s="32">
        <v>31.6</v>
      </c>
      <c r="J39" s="34"/>
    </row>
    <row r="40" spans="3:10">
      <c r="C40" s="41" t="s">
        <v>68</v>
      </c>
      <c r="D40" s="40">
        <v>970.5</v>
      </c>
      <c r="E40" s="40">
        <v>693.2</v>
      </c>
      <c r="F40" s="40">
        <v>542.1</v>
      </c>
      <c r="G40" s="40">
        <v>452</v>
      </c>
      <c r="H40" s="40">
        <v>435.9</v>
      </c>
      <c r="J40" s="34"/>
    </row>
    <row r="41" spans="3:10">
      <c r="C41" s="34"/>
      <c r="D41" s="32"/>
      <c r="E41" s="32"/>
      <c r="F41" s="32"/>
      <c r="G41" s="32"/>
      <c r="H41" s="32"/>
      <c r="J41" s="34"/>
    </row>
    <row r="42" spans="3:10">
      <c r="C42" s="47" t="s">
        <v>67</v>
      </c>
      <c r="D42" s="64">
        <f>SUM(D40,D35)</f>
        <v>2208.1999999999998</v>
      </c>
      <c r="E42" s="64">
        <f>SUM(E40,E35)</f>
        <v>2035.9</v>
      </c>
      <c r="F42" s="64">
        <f>SUM(F40,F35)</f>
        <v>1896.8000000000002</v>
      </c>
      <c r="G42" s="64">
        <f>SUM(G40,G35)</f>
        <v>1791.1</v>
      </c>
      <c r="H42" s="64">
        <f>SUM(H40,H35)</f>
        <v>1370.4</v>
      </c>
      <c r="J42" s="34"/>
    </row>
    <row r="43" spans="3:10">
      <c r="C43" s="34"/>
      <c r="D43" s="32"/>
      <c r="E43" s="32"/>
      <c r="F43" s="32"/>
      <c r="G43" s="32"/>
      <c r="H43" s="32"/>
      <c r="J43" s="34"/>
    </row>
    <row r="44" spans="3:10">
      <c r="C44" s="390" t="s">
        <v>235</v>
      </c>
      <c r="D44" s="32">
        <v>0.1</v>
      </c>
      <c r="E44" s="32">
        <v>0.1</v>
      </c>
      <c r="F44" s="32">
        <v>0.1</v>
      </c>
      <c r="G44" s="32">
        <v>0.1</v>
      </c>
      <c r="H44" s="32">
        <v>0.1</v>
      </c>
      <c r="J44" s="34"/>
    </row>
    <row r="45" spans="3:10">
      <c r="C45" s="390" t="s">
        <v>234</v>
      </c>
      <c r="D45" s="32">
        <v>0</v>
      </c>
      <c r="E45" s="32">
        <v>11</v>
      </c>
      <c r="F45" s="32">
        <v>1577.5</v>
      </c>
      <c r="G45" s="32">
        <v>1613.6</v>
      </c>
      <c r="H45" s="32">
        <v>1634.9</v>
      </c>
      <c r="J45" s="34"/>
    </row>
    <row r="46" spans="3:10">
      <c r="C46" s="390" t="s">
        <v>233</v>
      </c>
      <c r="D46" s="32">
        <v>690.2</v>
      </c>
      <c r="E46" s="32">
        <v>474.9</v>
      </c>
      <c r="F46" s="32">
        <v>93.6</v>
      </c>
      <c r="G46" s="32">
        <v>-219.5</v>
      </c>
      <c r="H46" s="32">
        <v>-212.8</v>
      </c>
      <c r="J46" s="34"/>
    </row>
    <row r="47" spans="3:10">
      <c r="C47" s="390" t="s">
        <v>232</v>
      </c>
      <c r="D47" s="32">
        <v>-78.8</v>
      </c>
      <c r="E47" s="32">
        <v>-49.3</v>
      </c>
      <c r="F47" s="32">
        <v>-68.7</v>
      </c>
      <c r="G47" s="32">
        <v>-71.900000000000006</v>
      </c>
      <c r="H47" s="32">
        <v>-83.6</v>
      </c>
      <c r="J47" s="34"/>
    </row>
    <row r="48" spans="3:10">
      <c r="C48" s="41" t="s">
        <v>66</v>
      </c>
      <c r="D48" s="63">
        <f>SUM(D44:D47)</f>
        <v>611.50000000000011</v>
      </c>
      <c r="E48" s="63">
        <f>SUM(E44:E47)</f>
        <v>436.7</v>
      </c>
      <c r="F48" s="63">
        <f>SUM(F44:F47)</f>
        <v>1602.4999999999998</v>
      </c>
      <c r="G48" s="63">
        <f>SUM(G44:G47)</f>
        <v>1322.2999999999997</v>
      </c>
      <c r="H48" s="63">
        <f>SUM(H44:H47)</f>
        <v>1338.6000000000001</v>
      </c>
      <c r="J48" s="34"/>
    </row>
    <row r="50" spans="3:8">
      <c r="C50" s="47" t="s">
        <v>65</v>
      </c>
      <c r="D50" s="39">
        <f>SUM(D48,D42)</f>
        <v>2819.7</v>
      </c>
      <c r="E50" s="39">
        <f>SUM(E48,E42)</f>
        <v>2472.6</v>
      </c>
      <c r="F50" s="39">
        <f>SUM(F48,F42)</f>
        <v>3499.3</v>
      </c>
      <c r="G50" s="39">
        <f>SUM(G48,G42)</f>
        <v>3113.3999999999996</v>
      </c>
      <c r="H50" s="39">
        <f>SUM(H48,H42)</f>
        <v>2709</v>
      </c>
    </row>
    <row r="51" spans="3:8">
      <c r="C51" s="251" t="s">
        <v>121</v>
      </c>
      <c r="D51" s="252">
        <f>ROUND(D23-D50,0)</f>
        <v>0</v>
      </c>
      <c r="E51" s="252">
        <f t="shared" ref="E51:H51" si="2">ROUND(E23-E50,0)</f>
        <v>0</v>
      </c>
      <c r="F51" s="252">
        <f t="shared" si="2"/>
        <v>0</v>
      </c>
      <c r="G51" s="252">
        <f t="shared" si="2"/>
        <v>0</v>
      </c>
      <c r="H51" s="252">
        <f t="shared" si="2"/>
        <v>0</v>
      </c>
    </row>
  </sheetData>
  <pageMargins left="0.7" right="0.7" top="0.75" bottom="0.75" header="0.3" footer="0.3"/>
  <pageSetup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4C36-34EB-5C44-9574-C06787C0ACB3}">
  <sheetPr>
    <pageSetUpPr fitToPage="1"/>
  </sheetPr>
  <dimension ref="B1:Q28"/>
  <sheetViews>
    <sheetView showGridLines="0" view="pageBreakPreview" topLeftCell="A2" zoomScale="135" zoomScaleNormal="70" workbookViewId="0">
      <selection activeCell="J7" sqref="J7"/>
    </sheetView>
  </sheetViews>
  <sheetFormatPr baseColWidth="10" defaultColWidth="10.59765625" defaultRowHeight="14"/>
  <cols>
    <col min="1" max="1" width="3.59765625" style="71" customWidth="1"/>
    <col min="2" max="2" width="3.3984375" style="71" customWidth="1"/>
    <col min="3" max="3" width="38.59765625" style="71" bestFit="1" customWidth="1"/>
    <col min="4" max="4" width="13.796875" style="71" customWidth="1"/>
    <col min="5" max="5" width="14" style="71" bestFit="1" customWidth="1"/>
    <col min="6" max="6" width="13.59765625" style="71" bestFit="1" customWidth="1"/>
    <col min="7" max="7" width="10.796875" style="71" bestFit="1" customWidth="1"/>
    <col min="8" max="8" width="12.19921875" style="71" bestFit="1" customWidth="1"/>
    <col min="9" max="9" width="10.796875" style="71" bestFit="1" customWidth="1"/>
    <col min="10" max="10" width="10.796875" style="71" customWidth="1"/>
    <col min="11" max="16" width="10.796875" style="71" bestFit="1" customWidth="1"/>
    <col min="17" max="17" width="3.59765625" style="71" customWidth="1"/>
    <col min="18" max="16384" width="10.59765625" style="71"/>
  </cols>
  <sheetData>
    <row r="1" spans="2:17" ht="8" customHeight="1"/>
    <row r="3" spans="2:17" ht="16">
      <c r="B3" s="295"/>
      <c r="C3" s="81"/>
      <c r="D3" s="82"/>
      <c r="E3" s="82"/>
      <c r="F3" s="82"/>
      <c r="G3" s="82" t="s">
        <v>111</v>
      </c>
      <c r="H3" s="82" t="s">
        <v>110</v>
      </c>
      <c r="I3" s="81"/>
      <c r="J3" s="83" t="s">
        <v>116</v>
      </c>
      <c r="K3" s="82" t="s">
        <v>116</v>
      </c>
      <c r="L3" s="82"/>
      <c r="M3" s="82"/>
      <c r="N3" s="81"/>
      <c r="O3" s="81" t="s">
        <v>109</v>
      </c>
      <c r="P3" s="83"/>
      <c r="Q3" s="295"/>
    </row>
    <row r="4" spans="2:17" ht="16">
      <c r="B4" s="295"/>
      <c r="C4" s="84"/>
      <c r="D4" s="85"/>
      <c r="E4" s="86" t="s">
        <v>95</v>
      </c>
      <c r="F4" s="86" t="s">
        <v>94</v>
      </c>
      <c r="G4" s="296" t="s">
        <v>108</v>
      </c>
      <c r="H4" s="296" t="s">
        <v>108</v>
      </c>
      <c r="I4" s="297" t="s">
        <v>116</v>
      </c>
      <c r="J4" s="202" t="s">
        <v>34</v>
      </c>
      <c r="K4" s="296" t="s">
        <v>107</v>
      </c>
      <c r="L4" s="86" t="s">
        <v>116</v>
      </c>
      <c r="M4" s="86" t="s">
        <v>116</v>
      </c>
      <c r="N4" s="87"/>
      <c r="O4" s="87" t="s">
        <v>106</v>
      </c>
      <c r="P4" s="88" t="s">
        <v>105</v>
      </c>
      <c r="Q4" s="295"/>
    </row>
    <row r="5" spans="2:17" ht="16">
      <c r="B5" s="295"/>
      <c r="C5" s="89" t="s">
        <v>93</v>
      </c>
      <c r="D5" s="90" t="s">
        <v>92</v>
      </c>
      <c r="E5" s="91" t="s">
        <v>91</v>
      </c>
      <c r="F5" s="91" t="s">
        <v>2</v>
      </c>
      <c r="G5" s="91" t="s">
        <v>104</v>
      </c>
      <c r="H5" s="91" t="s">
        <v>104</v>
      </c>
      <c r="I5" s="92" t="s">
        <v>34</v>
      </c>
      <c r="J5" s="93" t="s">
        <v>103</v>
      </c>
      <c r="K5" s="91" t="s">
        <v>103</v>
      </c>
      <c r="L5" s="91" t="s">
        <v>90</v>
      </c>
      <c r="M5" s="91" t="s">
        <v>89</v>
      </c>
      <c r="N5" s="92" t="s">
        <v>88</v>
      </c>
      <c r="O5" s="92" t="s">
        <v>34</v>
      </c>
      <c r="P5" s="93" t="s">
        <v>102</v>
      </c>
      <c r="Q5" s="295"/>
    </row>
    <row r="6" spans="2:17" ht="16">
      <c r="B6" s="295"/>
      <c r="C6" s="94"/>
      <c r="D6" s="95"/>
      <c r="E6" s="96"/>
      <c r="F6" s="96"/>
      <c r="G6" s="298"/>
      <c r="H6" s="298"/>
      <c r="I6" s="299"/>
      <c r="J6" s="300"/>
      <c r="K6" s="298"/>
      <c r="L6" s="301"/>
      <c r="M6" s="301"/>
      <c r="N6" s="302"/>
      <c r="O6" s="303"/>
      <c r="P6" s="304"/>
      <c r="Q6" s="295"/>
    </row>
    <row r="7" spans="2:17" ht="16">
      <c r="B7" s="295"/>
      <c r="C7" s="97" t="str">
        <f>'Income Statement'!D3</f>
        <v>GAMESTOP  (NYSE: GME)</v>
      </c>
      <c r="D7" s="98" t="s">
        <v>241</v>
      </c>
      <c r="E7" s="99">
        <v>9663.7587999999996</v>
      </c>
      <c r="F7" s="99">
        <v>5126.7587999999996</v>
      </c>
      <c r="G7" s="305">
        <v>-0.1547</v>
      </c>
      <c r="H7" s="305">
        <v>4.6749000000000001</v>
      </c>
      <c r="I7" s="306">
        <v>169.9</v>
      </c>
      <c r="J7" s="307"/>
      <c r="K7" s="305"/>
      <c r="L7" s="347">
        <v>4.5999999999999999E-2</v>
      </c>
      <c r="M7" s="347">
        <v>7.5700000000000003E-2</v>
      </c>
      <c r="N7" s="348">
        <v>0</v>
      </c>
      <c r="O7" s="349">
        <v>-25.19</v>
      </c>
      <c r="P7" s="350">
        <v>0.85340000000000005</v>
      </c>
      <c r="Q7" s="295"/>
    </row>
    <row r="8" spans="2:17" ht="16">
      <c r="B8" s="295"/>
      <c r="C8" s="100"/>
      <c r="D8" s="101"/>
      <c r="E8" s="102"/>
      <c r="F8" s="102"/>
      <c r="G8" s="308"/>
      <c r="H8" s="308"/>
      <c r="I8" s="309"/>
      <c r="J8" s="310"/>
      <c r="K8" s="308"/>
      <c r="L8" s="301"/>
      <c r="M8" s="301"/>
      <c r="N8" s="302"/>
      <c r="O8" s="311"/>
      <c r="P8" s="304"/>
      <c r="Q8" s="295"/>
    </row>
    <row r="9" spans="2:17" ht="16">
      <c r="B9" s="295"/>
      <c r="C9" s="312"/>
      <c r="D9" s="313"/>
      <c r="E9" s="314"/>
      <c r="F9" s="314"/>
      <c r="G9" s="315"/>
      <c r="H9" s="315"/>
      <c r="I9" s="316"/>
      <c r="J9" s="317"/>
      <c r="K9" s="315"/>
      <c r="L9" s="315"/>
      <c r="M9" s="315"/>
      <c r="N9" s="316"/>
      <c r="O9" s="318"/>
      <c r="P9" s="317"/>
      <c r="Q9" s="295"/>
    </row>
    <row r="10" spans="2:17" ht="16">
      <c r="B10" s="295"/>
      <c r="C10" s="100" t="s">
        <v>242</v>
      </c>
      <c r="D10" s="101" t="s">
        <v>245</v>
      </c>
      <c r="E10" s="105">
        <v>16944.07</v>
      </c>
      <c r="F10" s="105">
        <v>16242.0784</v>
      </c>
      <c r="G10" s="319">
        <v>-2.2074900000000001E-2</v>
      </c>
      <c r="H10" s="319">
        <v>-0.37430799999999997</v>
      </c>
      <c r="I10" s="320">
        <v>2575</v>
      </c>
      <c r="J10" s="321">
        <v>6.3200000000000006E-2</v>
      </c>
      <c r="K10" s="322">
        <v>4.3299999999999998E-2</v>
      </c>
      <c r="L10" s="322">
        <v>5.0389999999999997E-2</v>
      </c>
      <c r="M10" s="322">
        <v>0.26719999999999999</v>
      </c>
      <c r="N10" s="323">
        <v>-5.1999999999999998E-2</v>
      </c>
      <c r="O10" s="134">
        <v>0.85</v>
      </c>
      <c r="P10" s="321">
        <v>1.5006999999999999</v>
      </c>
      <c r="Q10" s="295"/>
    </row>
    <row r="11" spans="2:17" ht="16">
      <c r="B11" s="295"/>
      <c r="C11" s="100" t="s">
        <v>243</v>
      </c>
      <c r="D11" s="101" t="s">
        <v>246</v>
      </c>
      <c r="E11" s="105">
        <v>6873.45</v>
      </c>
      <c r="F11" s="105">
        <v>6691.4859999999999</v>
      </c>
      <c r="G11" s="319">
        <v>8.7470000000000006E-2</v>
      </c>
      <c r="H11" s="319">
        <v>4.2299999999999997E-2</v>
      </c>
      <c r="I11" s="320">
        <v>679.94</v>
      </c>
      <c r="J11" s="321">
        <v>9.1700000000000004E-2</v>
      </c>
      <c r="K11" s="322">
        <v>6.5199999999999994E-2</v>
      </c>
      <c r="L11" s="322">
        <v>0.11600000000000001</v>
      </c>
      <c r="M11" s="322">
        <v>0.29120000000000001</v>
      </c>
      <c r="N11" s="323">
        <v>-0.06</v>
      </c>
      <c r="O11" s="134">
        <v>0.4</v>
      </c>
      <c r="P11" s="321">
        <v>0.44190000000000002</v>
      </c>
      <c r="Q11" s="295"/>
    </row>
    <row r="12" spans="2:17" ht="16">
      <c r="B12" s="295"/>
      <c r="C12" s="100" t="s">
        <v>244</v>
      </c>
      <c r="D12" s="101" t="s">
        <v>247</v>
      </c>
      <c r="E12" s="105">
        <v>22519.255000000001</v>
      </c>
      <c r="F12" s="105">
        <v>25330.7</v>
      </c>
      <c r="G12" s="319">
        <v>5.1212999999999996E-3</v>
      </c>
      <c r="H12" s="319">
        <v>7.7969999999999997</v>
      </c>
      <c r="I12" s="320">
        <v>3519.2</v>
      </c>
      <c r="J12" s="321">
        <v>8.4599999999999995E-2</v>
      </c>
      <c r="K12" s="322">
        <v>3.1199999999999999E-2</v>
      </c>
      <c r="L12" s="322">
        <v>2.8000000000000001E-2</v>
      </c>
      <c r="M12" s="322">
        <v>0.1875</v>
      </c>
      <c r="N12" s="323">
        <v>-3.5999999999999997E-2</v>
      </c>
      <c r="O12" s="134">
        <v>3</v>
      </c>
      <c r="P12" s="321">
        <v>3.5771000000000002</v>
      </c>
      <c r="Q12" s="295"/>
    </row>
    <row r="13" spans="2:17" ht="16">
      <c r="B13" s="295"/>
      <c r="C13" s="100" t="s">
        <v>248</v>
      </c>
      <c r="D13" s="101" t="s">
        <v>249</v>
      </c>
      <c r="E13" s="105">
        <v>42043.35</v>
      </c>
      <c r="F13" s="105">
        <v>54158.35</v>
      </c>
      <c r="G13" s="319">
        <v>-1.5470640000000001E-2</v>
      </c>
      <c r="H13" s="319">
        <v>-0.1143</v>
      </c>
      <c r="I13" s="320">
        <v>7975</v>
      </c>
      <c r="J13" s="321">
        <v>7.6399999999999996E-2</v>
      </c>
      <c r="K13" s="322">
        <v>4.41E-2</v>
      </c>
      <c r="L13" s="322">
        <v>6.9000000000000006E-2</v>
      </c>
      <c r="M13" s="322">
        <v>0.2631</v>
      </c>
      <c r="N13" s="323">
        <v>-3.3000000000000002E-2</v>
      </c>
      <c r="O13" s="134">
        <v>2.0099999999999998</v>
      </c>
      <c r="P13" s="321">
        <v>1.319</v>
      </c>
      <c r="Q13" s="295"/>
    </row>
    <row r="14" spans="2:17" ht="16">
      <c r="B14" s="295"/>
      <c r="C14" s="100" t="s">
        <v>250</v>
      </c>
      <c r="D14" s="101" t="s">
        <v>253</v>
      </c>
      <c r="E14" s="105">
        <v>1003.66</v>
      </c>
      <c r="F14" s="105">
        <v>2191.3220000000001</v>
      </c>
      <c r="G14" s="319">
        <v>0.1862</v>
      </c>
      <c r="H14" s="319">
        <v>-0.84409999999999996</v>
      </c>
      <c r="I14" s="320">
        <v>804.45</v>
      </c>
      <c r="J14" s="321">
        <v>5.6800000000000003E-2</v>
      </c>
      <c r="K14" s="322">
        <v>1.26E-2</v>
      </c>
      <c r="L14" s="322">
        <v>3.2000000000000002E-3</v>
      </c>
      <c r="M14" s="322">
        <v>1.54E-2</v>
      </c>
      <c r="N14" s="323">
        <v>-0.06</v>
      </c>
      <c r="O14" s="134">
        <v>3.45</v>
      </c>
      <c r="P14" s="321">
        <v>1.8109999999999999</v>
      </c>
      <c r="Q14" s="295"/>
    </row>
    <row r="15" spans="2:17" ht="16">
      <c r="B15" s="295"/>
      <c r="C15" s="100" t="s">
        <v>252</v>
      </c>
      <c r="D15" s="101" t="s">
        <v>254</v>
      </c>
      <c r="E15" s="105">
        <v>2504.36</v>
      </c>
      <c r="F15" s="105">
        <v>4504.2030000000004</v>
      </c>
      <c r="G15" s="319">
        <v>1.6299999999999999E-2</v>
      </c>
      <c r="H15" s="319">
        <v>-1.0346</v>
      </c>
      <c r="I15" s="320">
        <v>818.69</v>
      </c>
      <c r="J15" s="321">
        <v>4.9000000000000002E-2</v>
      </c>
      <c r="K15" s="322">
        <v>1.438E-2</v>
      </c>
      <c r="L15" s="322">
        <v>2.9999999999999997E-4</v>
      </c>
      <c r="M15" s="322">
        <v>6.0000000000000001E-3</v>
      </c>
      <c r="N15" s="323">
        <v>-2.5000000000000001E-2</v>
      </c>
      <c r="O15" s="134">
        <v>2.4</v>
      </c>
      <c r="P15" s="321">
        <v>4.95</v>
      </c>
      <c r="Q15" s="295"/>
    </row>
    <row r="16" spans="2:17" ht="16">
      <c r="B16" s="295"/>
      <c r="C16" s="100" t="s">
        <v>251</v>
      </c>
      <c r="D16" s="101" t="s">
        <v>255</v>
      </c>
      <c r="E16" s="105">
        <v>105705.09</v>
      </c>
      <c r="F16" s="105">
        <v>91495.832517999996</v>
      </c>
      <c r="G16" s="319">
        <v>0.255</v>
      </c>
      <c r="H16" s="319">
        <v>0.13450000000000001</v>
      </c>
      <c r="I16" s="320">
        <v>2164.81</v>
      </c>
      <c r="J16" s="321">
        <v>0.21360000000000001</v>
      </c>
      <c r="K16" s="322">
        <v>0.25580000000000003</v>
      </c>
      <c r="L16" s="322">
        <v>0.11</v>
      </c>
      <c r="M16" s="322">
        <v>0.13800000000000001</v>
      </c>
      <c r="N16" s="323">
        <v>-2.5999999999999999E-2</v>
      </c>
      <c r="O16" s="134">
        <v>-6.4</v>
      </c>
      <c r="P16" s="321">
        <v>1.7999999999999999E-2</v>
      </c>
      <c r="Q16" s="295"/>
    </row>
    <row r="17" spans="2:17" ht="16">
      <c r="B17" s="295"/>
      <c r="C17" s="100"/>
      <c r="D17" s="101"/>
      <c r="E17" s="105"/>
      <c r="F17" s="105"/>
      <c r="G17" s="319"/>
      <c r="H17" s="319"/>
      <c r="I17" s="320"/>
      <c r="J17" s="321"/>
      <c r="K17" s="322"/>
      <c r="L17" s="322"/>
      <c r="M17" s="322"/>
      <c r="N17" s="323"/>
      <c r="O17" s="134"/>
      <c r="P17" s="321"/>
      <c r="Q17" s="295"/>
    </row>
    <row r="18" spans="2:17" ht="16">
      <c r="B18" s="295"/>
      <c r="C18" s="94"/>
      <c r="D18" s="95"/>
      <c r="E18" s="105"/>
      <c r="F18" s="105"/>
      <c r="G18" s="319"/>
      <c r="H18" s="319"/>
      <c r="I18" s="320"/>
      <c r="J18" s="321"/>
      <c r="K18" s="322"/>
      <c r="L18" s="322"/>
      <c r="M18" s="322"/>
      <c r="N18" s="323"/>
      <c r="O18" s="134"/>
      <c r="P18" s="321"/>
      <c r="Q18" s="295"/>
    </row>
    <row r="19" spans="2:17" ht="16">
      <c r="B19" s="295"/>
      <c r="C19" s="94"/>
      <c r="D19" s="95"/>
      <c r="E19" s="106"/>
      <c r="F19" s="106"/>
      <c r="G19" s="298"/>
      <c r="H19" s="298"/>
      <c r="I19" s="299"/>
      <c r="J19" s="300"/>
      <c r="K19" s="298"/>
      <c r="L19" s="298"/>
      <c r="M19" s="298"/>
      <c r="N19" s="299"/>
      <c r="O19" s="324"/>
      <c r="P19" s="300"/>
      <c r="Q19" s="295"/>
    </row>
    <row r="20" spans="2:17" ht="16">
      <c r="B20" s="295">
        <v>0</v>
      </c>
      <c r="C20" s="108" t="s">
        <v>101</v>
      </c>
      <c r="D20" s="109"/>
      <c r="E20" s="110">
        <f t="shared" ref="E20:P21" si="0">QUARTILE(E$10:E$18,$B20)</f>
        <v>1003.66</v>
      </c>
      <c r="F20" s="110">
        <f t="shared" si="0"/>
        <v>2191.3220000000001</v>
      </c>
      <c r="G20" s="325">
        <f t="shared" si="0"/>
        <v>-2.2074900000000001E-2</v>
      </c>
      <c r="H20" s="325">
        <f t="shared" si="0"/>
        <v>-1.0346</v>
      </c>
      <c r="I20" s="326">
        <f t="shared" si="0"/>
        <v>679.94</v>
      </c>
      <c r="J20" s="327">
        <f t="shared" si="0"/>
        <v>4.9000000000000002E-2</v>
      </c>
      <c r="K20" s="325">
        <f t="shared" si="0"/>
        <v>1.26E-2</v>
      </c>
      <c r="L20" s="325">
        <f t="shared" si="0"/>
        <v>2.9999999999999997E-4</v>
      </c>
      <c r="M20" s="325">
        <f t="shared" si="0"/>
        <v>6.0000000000000001E-3</v>
      </c>
      <c r="N20" s="328">
        <f t="shared" si="0"/>
        <v>-0.06</v>
      </c>
      <c r="O20" s="329">
        <f t="shared" si="0"/>
        <v>-6.4</v>
      </c>
      <c r="P20" s="327">
        <f t="shared" si="0"/>
        <v>1.7999999999999999E-2</v>
      </c>
      <c r="Q20" s="295"/>
    </row>
    <row r="21" spans="2:17" ht="16">
      <c r="B21" s="295">
        <f>+B20+1</f>
        <v>1</v>
      </c>
      <c r="C21" s="108" t="s">
        <v>100</v>
      </c>
      <c r="D21" s="109"/>
      <c r="E21" s="110">
        <f t="shared" si="0"/>
        <v>4688.9050000000007</v>
      </c>
      <c r="F21" s="110">
        <f t="shared" si="0"/>
        <v>5597.8445000000002</v>
      </c>
      <c r="G21" s="325">
        <f t="shared" si="0"/>
        <v>-5.174670000000001E-3</v>
      </c>
      <c r="H21" s="325">
        <f t="shared" si="0"/>
        <v>-0.60920399999999997</v>
      </c>
      <c r="I21" s="326">
        <f t="shared" si="0"/>
        <v>811.57</v>
      </c>
      <c r="J21" s="327">
        <f t="shared" si="0"/>
        <v>6.0000000000000005E-2</v>
      </c>
      <c r="K21" s="325">
        <f t="shared" si="0"/>
        <v>2.2789999999999998E-2</v>
      </c>
      <c r="L21" s="325">
        <f t="shared" si="0"/>
        <v>1.5599999999999999E-2</v>
      </c>
      <c r="M21" s="325">
        <f t="shared" si="0"/>
        <v>7.6700000000000004E-2</v>
      </c>
      <c r="N21" s="328">
        <f t="shared" si="0"/>
        <v>-5.5999999999999994E-2</v>
      </c>
      <c r="O21" s="329">
        <f t="shared" si="0"/>
        <v>0.625</v>
      </c>
      <c r="P21" s="327">
        <f t="shared" si="0"/>
        <v>0.88044999999999995</v>
      </c>
      <c r="Q21" s="295"/>
    </row>
    <row r="22" spans="2:17" ht="16">
      <c r="B22" s="295"/>
      <c r="C22" s="108" t="s">
        <v>99</v>
      </c>
      <c r="D22" s="109"/>
      <c r="E22" s="110">
        <f t="shared" ref="E22:P22" si="1">MEDIAN(E10:E18)</f>
        <v>16944.07</v>
      </c>
      <c r="F22" s="110">
        <f t="shared" si="1"/>
        <v>16242.0784</v>
      </c>
      <c r="G22" s="325">
        <f t="shared" si="1"/>
        <v>1.6299999999999999E-2</v>
      </c>
      <c r="H22" s="325">
        <f t="shared" si="1"/>
        <v>-0.1143</v>
      </c>
      <c r="I22" s="326">
        <f t="shared" si="1"/>
        <v>2164.81</v>
      </c>
      <c r="J22" s="327">
        <f t="shared" si="1"/>
        <v>7.6399999999999996E-2</v>
      </c>
      <c r="K22" s="325">
        <f t="shared" si="1"/>
        <v>4.3299999999999998E-2</v>
      </c>
      <c r="L22" s="325">
        <f t="shared" si="1"/>
        <v>5.0389999999999997E-2</v>
      </c>
      <c r="M22" s="325">
        <f t="shared" si="1"/>
        <v>0.1875</v>
      </c>
      <c r="N22" s="328">
        <f t="shared" si="1"/>
        <v>-3.5999999999999997E-2</v>
      </c>
      <c r="O22" s="329">
        <f t="shared" si="1"/>
        <v>2.0099999999999998</v>
      </c>
      <c r="P22" s="327">
        <f t="shared" si="1"/>
        <v>1.5006999999999999</v>
      </c>
      <c r="Q22" s="295"/>
    </row>
    <row r="23" spans="2:17" ht="16">
      <c r="B23" s="295">
        <f>+B21+1</f>
        <v>2</v>
      </c>
      <c r="C23" s="108" t="s">
        <v>98</v>
      </c>
      <c r="D23" s="109"/>
      <c r="E23" s="110">
        <f t="shared" ref="E23:P25" si="2">QUARTILE(E$10:E$18,$B23)</f>
        <v>16944.07</v>
      </c>
      <c r="F23" s="110">
        <f t="shared" si="2"/>
        <v>16242.0784</v>
      </c>
      <c r="G23" s="325">
        <f t="shared" si="2"/>
        <v>1.6299999999999999E-2</v>
      </c>
      <c r="H23" s="325">
        <f>QUARTILE(H$10:H$18,$B23)</f>
        <v>-0.1143</v>
      </c>
      <c r="I23" s="326">
        <f t="shared" si="2"/>
        <v>2164.81</v>
      </c>
      <c r="J23" s="327">
        <f t="shared" si="2"/>
        <v>7.6399999999999996E-2</v>
      </c>
      <c r="K23" s="325">
        <f t="shared" si="2"/>
        <v>4.3299999999999998E-2</v>
      </c>
      <c r="L23" s="325">
        <f t="shared" si="2"/>
        <v>5.0389999999999997E-2</v>
      </c>
      <c r="M23" s="325">
        <f t="shared" si="2"/>
        <v>0.1875</v>
      </c>
      <c r="N23" s="328">
        <f t="shared" si="2"/>
        <v>-3.5999999999999997E-2</v>
      </c>
      <c r="O23" s="329">
        <f t="shared" si="2"/>
        <v>2.0099999999999998</v>
      </c>
      <c r="P23" s="327">
        <f t="shared" si="2"/>
        <v>1.5006999999999999</v>
      </c>
      <c r="Q23" s="295"/>
    </row>
    <row r="24" spans="2:17" ht="16">
      <c r="B24" s="295">
        <f>+B23+1</f>
        <v>3</v>
      </c>
      <c r="C24" s="108" t="s">
        <v>97</v>
      </c>
      <c r="D24" s="109"/>
      <c r="E24" s="110">
        <f t="shared" si="2"/>
        <v>32281.302499999998</v>
      </c>
      <c r="F24" s="110">
        <f t="shared" si="2"/>
        <v>39744.525000000001</v>
      </c>
      <c r="G24" s="325">
        <f t="shared" si="2"/>
        <v>0.13683500000000001</v>
      </c>
      <c r="H24" s="325">
        <f t="shared" si="2"/>
        <v>8.8400000000000006E-2</v>
      </c>
      <c r="I24" s="326">
        <f t="shared" si="2"/>
        <v>3047.1</v>
      </c>
      <c r="J24" s="327">
        <f t="shared" si="2"/>
        <v>8.8150000000000006E-2</v>
      </c>
      <c r="K24" s="325">
        <f t="shared" si="2"/>
        <v>5.4649999999999997E-2</v>
      </c>
      <c r="L24" s="325">
        <f t="shared" si="2"/>
        <v>8.9499999999999996E-2</v>
      </c>
      <c r="M24" s="325">
        <f t="shared" si="2"/>
        <v>0.26515</v>
      </c>
      <c r="N24" s="328">
        <f t="shared" si="2"/>
        <v>-2.9499999999999998E-2</v>
      </c>
      <c r="O24" s="329">
        <f t="shared" si="2"/>
        <v>2.7</v>
      </c>
      <c r="P24" s="327">
        <f t="shared" si="2"/>
        <v>2.6940499999999998</v>
      </c>
      <c r="Q24" s="295"/>
    </row>
    <row r="25" spans="2:17" ht="16">
      <c r="B25" s="295">
        <f>+B24+1</f>
        <v>4</v>
      </c>
      <c r="C25" s="111" t="s">
        <v>96</v>
      </c>
      <c r="D25" s="112"/>
      <c r="E25" s="113">
        <f t="shared" si="2"/>
        <v>105705.09</v>
      </c>
      <c r="F25" s="113">
        <f t="shared" si="2"/>
        <v>91495.832517999996</v>
      </c>
      <c r="G25" s="330">
        <f t="shared" si="2"/>
        <v>0.255</v>
      </c>
      <c r="H25" s="330">
        <f t="shared" si="2"/>
        <v>7.7969999999999997</v>
      </c>
      <c r="I25" s="331">
        <f t="shared" si="2"/>
        <v>7975</v>
      </c>
      <c r="J25" s="332">
        <f t="shared" si="2"/>
        <v>0.21360000000000001</v>
      </c>
      <c r="K25" s="330">
        <f t="shared" si="2"/>
        <v>0.25580000000000003</v>
      </c>
      <c r="L25" s="330">
        <f t="shared" si="2"/>
        <v>0.11600000000000001</v>
      </c>
      <c r="M25" s="330">
        <f t="shared" si="2"/>
        <v>0.29120000000000001</v>
      </c>
      <c r="N25" s="333">
        <f t="shared" si="2"/>
        <v>-2.5000000000000001E-2</v>
      </c>
      <c r="O25" s="334">
        <f t="shared" si="2"/>
        <v>3.45</v>
      </c>
      <c r="P25" s="332">
        <f t="shared" si="2"/>
        <v>4.95</v>
      </c>
      <c r="Q25" s="295"/>
    </row>
    <row r="28" spans="2:17">
      <c r="G28" s="226"/>
      <c r="H28" s="226"/>
      <c r="I28" s="227"/>
      <c r="J28" s="226"/>
      <c r="K28" s="226"/>
      <c r="L28" s="226"/>
      <c r="M28" s="226"/>
      <c r="N28" s="226"/>
      <c r="O28" s="228"/>
      <c r="P28" s="226"/>
    </row>
  </sheetData>
  <pageMargins left="0.7" right="0.7" top="0.75" bottom="0.75" header="0.3" footer="0.3"/>
  <pageSetup scale="5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0873-9A13-F343-9963-7EB6F6EFB80A}">
  <sheetPr>
    <pageSetUpPr fitToPage="1"/>
  </sheetPr>
  <dimension ref="A1:Q39"/>
  <sheetViews>
    <sheetView showGridLines="0" view="pageBreakPreview" topLeftCell="B1" zoomScale="111" zoomScaleNormal="74" workbookViewId="0">
      <selection activeCell="L18" sqref="L18"/>
    </sheetView>
  </sheetViews>
  <sheetFormatPr baseColWidth="10" defaultColWidth="10.59765625" defaultRowHeight="14"/>
  <cols>
    <col min="1" max="2" width="3.59765625" style="71" customWidth="1"/>
    <col min="3" max="3" width="38.59765625" style="71" bestFit="1" customWidth="1"/>
    <col min="4" max="4" width="15" style="71" bestFit="1" customWidth="1"/>
    <col min="5" max="5" width="10.59765625" style="71"/>
    <col min="6" max="6" width="14.3984375" style="71" bestFit="1" customWidth="1"/>
    <col min="7" max="7" width="13.3984375" style="71" bestFit="1" customWidth="1"/>
    <col min="8" max="8" width="11.59765625" style="71" bestFit="1" customWidth="1"/>
    <col min="9" max="9" width="11.796875" style="71" bestFit="1" customWidth="1"/>
    <col min="10" max="10" width="11.19921875" style="71" bestFit="1" customWidth="1"/>
    <col min="11" max="11" width="15.3984375" style="71" customWidth="1"/>
    <col min="12" max="13" width="10.59765625" style="71"/>
    <col min="14" max="14" width="3.59765625" style="71" customWidth="1"/>
    <col min="15" max="16384" width="10.59765625" style="71"/>
  </cols>
  <sheetData>
    <row r="1" spans="3:17" ht="8" customHeight="1"/>
    <row r="2" spans="3:17" ht="14.25" customHeight="1">
      <c r="C2"/>
      <c r="D2" s="209"/>
      <c r="E2" s="210"/>
      <c r="F2" s="210"/>
      <c r="G2" s="210"/>
      <c r="H2" s="209"/>
      <c r="I2" s="209"/>
      <c r="J2" s="209"/>
      <c r="K2" s="209"/>
      <c r="L2" s="209"/>
      <c r="M2" s="209"/>
      <c r="N2" s="69"/>
      <c r="O2" s="69"/>
      <c r="P2" s="69"/>
      <c r="Q2" s="69"/>
    </row>
    <row r="3" spans="3:17" ht="14.25" customHeight="1">
      <c r="C3" s="211"/>
      <c r="D3" s="212"/>
      <c r="E3" s="213"/>
      <c r="F3" s="213"/>
      <c r="G3" s="213"/>
      <c r="H3" s="212"/>
      <c r="I3" s="212"/>
      <c r="J3" s="212"/>
      <c r="K3" s="212"/>
      <c r="L3" s="212"/>
      <c r="M3" s="214"/>
      <c r="N3" s="69"/>
      <c r="O3" s="69"/>
      <c r="P3" s="69"/>
      <c r="Q3" s="69"/>
    </row>
    <row r="4" spans="3:17" ht="36" customHeight="1">
      <c r="C4" s="74" t="s">
        <v>117</v>
      </c>
      <c r="D4" s="73"/>
      <c r="E4" s="73"/>
      <c r="F4" s="73"/>
      <c r="G4" s="73"/>
      <c r="H4" s="73"/>
      <c r="I4" s="73"/>
      <c r="J4" s="73"/>
      <c r="K4" s="73"/>
      <c r="L4" s="73"/>
      <c r="M4" s="72"/>
      <c r="N4" s="69"/>
      <c r="O4" s="69"/>
      <c r="P4" s="69"/>
      <c r="Q4" s="69"/>
    </row>
    <row r="5" spans="3:17" ht="6.5" customHeight="1">
      <c r="C5" s="69"/>
      <c r="D5" s="69"/>
      <c r="E5" s="70"/>
      <c r="F5" s="70"/>
      <c r="G5" s="70"/>
      <c r="H5" s="69"/>
      <c r="I5" s="69"/>
      <c r="J5" s="69"/>
      <c r="K5" s="69"/>
      <c r="L5" s="69"/>
      <c r="M5" s="114"/>
    </row>
    <row r="6" spans="3:17" ht="16">
      <c r="C6" s="81"/>
      <c r="D6" s="82"/>
      <c r="E6" s="82"/>
      <c r="F6" s="82"/>
      <c r="G6" s="82"/>
      <c r="H6" s="81" t="s">
        <v>116</v>
      </c>
      <c r="I6" s="82" t="s">
        <v>144</v>
      </c>
      <c r="J6" s="83" t="s">
        <v>116</v>
      </c>
      <c r="K6" s="115" t="s">
        <v>116</v>
      </c>
      <c r="L6" s="82" t="s">
        <v>116</v>
      </c>
      <c r="M6" s="83" t="s">
        <v>144</v>
      </c>
    </row>
    <row r="7" spans="3:17" ht="16">
      <c r="C7" s="84"/>
      <c r="D7" s="85"/>
      <c r="E7" s="86" t="s">
        <v>95</v>
      </c>
      <c r="F7" s="86" t="s">
        <v>94</v>
      </c>
      <c r="G7" s="86" t="s">
        <v>124</v>
      </c>
      <c r="H7" s="87" t="s">
        <v>115</v>
      </c>
      <c r="I7" s="86" t="s">
        <v>115</v>
      </c>
      <c r="J7" s="86" t="s">
        <v>115</v>
      </c>
      <c r="K7" s="203" t="s">
        <v>142</v>
      </c>
      <c r="L7" s="86" t="s">
        <v>114</v>
      </c>
      <c r="M7" s="88" t="s">
        <v>114</v>
      </c>
    </row>
    <row r="8" spans="3:17" ht="16">
      <c r="C8" s="89" t="s">
        <v>93</v>
      </c>
      <c r="D8" s="90" t="s">
        <v>92</v>
      </c>
      <c r="E8" s="91" t="s">
        <v>91</v>
      </c>
      <c r="F8" s="91" t="s">
        <v>2</v>
      </c>
      <c r="G8" s="91" t="s">
        <v>125</v>
      </c>
      <c r="H8" s="92" t="s">
        <v>113</v>
      </c>
      <c r="I8" s="91" t="s">
        <v>113</v>
      </c>
      <c r="J8" s="202" t="s">
        <v>143</v>
      </c>
      <c r="K8" s="204" t="s">
        <v>112</v>
      </c>
      <c r="L8" s="91" t="s">
        <v>34</v>
      </c>
      <c r="M8" s="93" t="s">
        <v>34</v>
      </c>
    </row>
    <row r="9" spans="3:17" ht="16">
      <c r="C9" s="94"/>
      <c r="D9" s="95"/>
      <c r="E9" s="96"/>
      <c r="F9" s="96"/>
      <c r="G9" s="96"/>
      <c r="H9" s="116"/>
      <c r="I9" s="118"/>
      <c r="J9" s="117"/>
      <c r="K9" s="119"/>
      <c r="L9" s="120"/>
      <c r="M9" s="121"/>
      <c r="O9"/>
    </row>
    <row r="10" spans="3:17" ht="16">
      <c r="C10" s="97" t="str">
        <f>'Income Statement'!D3</f>
        <v>GAMESTOP  (NYSE: GME)</v>
      </c>
      <c r="D10" s="98" t="str">
        <f>'Comps Financials'!D7</f>
        <v>GME</v>
      </c>
      <c r="E10" s="99">
        <v>9663.7999999999993</v>
      </c>
      <c r="F10" s="99">
        <v>5126.8</v>
      </c>
      <c r="G10" s="206" t="s">
        <v>62</v>
      </c>
      <c r="H10" s="122">
        <v>21.72</v>
      </c>
      <c r="I10" s="124">
        <v>26.54</v>
      </c>
      <c r="J10" s="122">
        <v>29.39</v>
      </c>
      <c r="K10" s="125">
        <v>1.23</v>
      </c>
      <c r="L10" s="124">
        <v>30.058499999999999</v>
      </c>
      <c r="M10" s="123">
        <v>28.8</v>
      </c>
      <c r="O10"/>
    </row>
    <row r="11" spans="3:17" ht="16">
      <c r="C11" s="100"/>
      <c r="D11" s="98"/>
      <c r="E11" s="102"/>
      <c r="F11" s="149"/>
      <c r="G11" s="102"/>
      <c r="H11" s="126"/>
      <c r="I11" s="128"/>
      <c r="J11" s="127"/>
      <c r="K11" s="129"/>
      <c r="L11" s="128"/>
      <c r="M11" s="127"/>
    </row>
    <row r="12" spans="3:17" ht="16">
      <c r="C12" s="103"/>
      <c r="D12" s="392"/>
      <c r="E12" s="104"/>
      <c r="F12" s="150"/>
      <c r="G12" s="104"/>
      <c r="H12" s="130"/>
      <c r="I12" s="132"/>
      <c r="J12" s="131"/>
      <c r="K12" s="133"/>
      <c r="L12" s="132"/>
      <c r="M12" s="131"/>
    </row>
    <row r="13" spans="3:17" ht="16">
      <c r="C13" s="100" t="str">
        <f>'Comps Financials'!C10</f>
        <v>Best Buy Co</v>
      </c>
      <c r="D13" s="98" t="str">
        <f>'Comps Financials'!D10</f>
        <v>BBY-US</v>
      </c>
      <c r="E13" s="105">
        <v>16944.099999999999</v>
      </c>
      <c r="F13" s="105">
        <v>16242.1</v>
      </c>
      <c r="G13" s="205">
        <v>4.3299999999999998E-2</v>
      </c>
      <c r="H13" s="134">
        <v>12.67</v>
      </c>
      <c r="I13" s="136">
        <v>11.78</v>
      </c>
      <c r="J13" s="135">
        <v>21.78</v>
      </c>
      <c r="K13" s="137">
        <v>0.38</v>
      </c>
      <c r="L13" s="136">
        <v>22.4</v>
      </c>
      <c r="M13" s="135">
        <v>5.9</v>
      </c>
    </row>
    <row r="14" spans="3:17" ht="16">
      <c r="C14" s="100" t="str">
        <f>'Comps Financials'!C11</f>
        <v>JB Hi-Fi</v>
      </c>
      <c r="D14" s="98" t="str">
        <f>'Comps Financials'!D11</f>
        <v>JBH-AU</v>
      </c>
      <c r="E14" s="105">
        <v>6873.5</v>
      </c>
      <c r="F14" s="105">
        <v>6691.5</v>
      </c>
      <c r="G14" s="205">
        <v>6.5000000000000002E-2</v>
      </c>
      <c r="H14" s="134">
        <v>20.83</v>
      </c>
      <c r="I14" s="136">
        <v>19.54</v>
      </c>
      <c r="J14" s="135">
        <v>22.86</v>
      </c>
      <c r="K14" s="137">
        <v>0.98</v>
      </c>
      <c r="L14" s="136">
        <v>22.3</v>
      </c>
      <c r="M14" s="135">
        <v>9.3000000000000007</v>
      </c>
    </row>
    <row r="15" spans="3:17" ht="16">
      <c r="C15" s="100" t="str">
        <f>'Comps Financials'!C12</f>
        <v>Woolworths Group</v>
      </c>
      <c r="D15" s="98" t="str">
        <f>'Comps Financials'!D12</f>
        <v>WOW-AU</v>
      </c>
      <c r="E15" s="105">
        <v>22519.3</v>
      </c>
      <c r="F15" s="105">
        <v>25330.7</v>
      </c>
      <c r="G15" s="205">
        <v>3.1E-2</v>
      </c>
      <c r="H15" s="134">
        <v>22.8</v>
      </c>
      <c r="I15" s="136">
        <v>20.27</v>
      </c>
      <c r="J15" s="135">
        <v>35.86</v>
      </c>
      <c r="K15" s="137">
        <v>0.55000000000000004</v>
      </c>
      <c r="L15" s="136">
        <v>23.51</v>
      </c>
      <c r="M15" s="135">
        <v>6.8</v>
      </c>
    </row>
    <row r="16" spans="3:17" ht="16">
      <c r="C16" s="100" t="str">
        <f>'Comps Financials'!C13</f>
        <v xml:space="preserve">target </v>
      </c>
      <c r="D16" s="98" t="str">
        <f>'Comps Financials'!D13</f>
        <v xml:space="preserve">TGT </v>
      </c>
      <c r="E16" s="105">
        <v>42043.4</v>
      </c>
      <c r="F16" s="105">
        <v>54158.400000000001</v>
      </c>
      <c r="G16" s="205">
        <v>0</v>
      </c>
      <c r="H16" s="134">
        <v>12.51</v>
      </c>
      <c r="I16" s="136">
        <v>11.62</v>
      </c>
      <c r="J16" s="135">
        <v>10.64</v>
      </c>
      <c r="K16" s="137">
        <v>0.52</v>
      </c>
      <c r="L16" s="136">
        <v>91.24</v>
      </c>
      <c r="M16" s="135">
        <v>6.4</v>
      </c>
    </row>
    <row r="17" spans="1:13" ht="16">
      <c r="C17" s="100" t="str">
        <f>'Comps Financials'!C14</f>
        <v xml:space="preserve">Fnac Darty SA </v>
      </c>
      <c r="D17" s="98" t="str">
        <f>'Comps Financials'!D14</f>
        <v>FNAC.PA</v>
      </c>
      <c r="E17" s="105">
        <v>1003.7</v>
      </c>
      <c r="F17" s="105">
        <v>2191.3000000000002</v>
      </c>
      <c r="G17" s="205">
        <v>1.452</v>
      </c>
      <c r="H17" s="134">
        <v>13.66</v>
      </c>
      <c r="I17" s="136">
        <v>10.57</v>
      </c>
      <c r="J17" s="135">
        <v>39.229999999999997</v>
      </c>
      <c r="K17" s="137">
        <v>0.18</v>
      </c>
      <c r="L17" s="136">
        <v>32.340000000000003</v>
      </c>
      <c r="M17" s="135">
        <v>2.6</v>
      </c>
    </row>
    <row r="18" spans="1:13" ht="16">
      <c r="C18" s="100" t="str">
        <f>'Comps Financials'!C15</f>
        <v xml:space="preserve">ceconomy AG </v>
      </c>
      <c r="D18" s="98" t="str">
        <f>'Comps Financials'!D15</f>
        <v>CECG.DE</v>
      </c>
      <c r="E18" s="105">
        <v>2504.4</v>
      </c>
      <c r="F18" s="105">
        <v>4504.2</v>
      </c>
      <c r="G18" s="205">
        <v>0</v>
      </c>
      <c r="H18" s="134">
        <v>12.93</v>
      </c>
      <c r="I18" s="136">
        <v>8.0399999999999991</v>
      </c>
      <c r="J18" s="135">
        <v>770.35</v>
      </c>
      <c r="K18" s="137">
        <v>0.17</v>
      </c>
      <c r="L18" s="136"/>
      <c r="M18" s="135">
        <v>5.2</v>
      </c>
    </row>
    <row r="19" spans="1:13" ht="16">
      <c r="C19" s="100" t="str">
        <f>'Comps Financials'!C16</f>
        <v xml:space="preserve">Nintendo </v>
      </c>
      <c r="D19" s="98" t="str">
        <f>'Comps Financials'!D16</f>
        <v xml:space="preserve">NTDOY </v>
      </c>
      <c r="E19" s="105">
        <v>105705.09</v>
      </c>
      <c r="F19" s="105">
        <v>91495.8</v>
      </c>
      <c r="G19" s="205">
        <v>7.6379000000000002E-2</v>
      </c>
      <c r="H19" s="134">
        <v>40.76</v>
      </c>
      <c r="I19" s="136">
        <v>31.4</v>
      </c>
      <c r="J19" s="135">
        <v>42.72</v>
      </c>
      <c r="K19" s="137">
        <v>5.79</v>
      </c>
      <c r="L19" s="136">
        <v>90.79</v>
      </c>
      <c r="M19" s="135">
        <v>39.9</v>
      </c>
    </row>
    <row r="20" spans="1:13" ht="16">
      <c r="C20" s="100"/>
      <c r="D20" s="98"/>
      <c r="E20" s="105"/>
      <c r="F20" s="105"/>
      <c r="G20" s="105"/>
      <c r="H20" s="105"/>
      <c r="I20" s="105"/>
      <c r="J20" s="105"/>
      <c r="K20" s="105"/>
      <c r="L20" s="105"/>
      <c r="M20" s="105"/>
    </row>
    <row r="21" spans="1:13" ht="16">
      <c r="C21" s="100"/>
      <c r="D21" s="98"/>
      <c r="E21" s="105"/>
      <c r="F21" s="105"/>
      <c r="G21" s="105"/>
      <c r="H21" s="134"/>
      <c r="I21" s="136"/>
      <c r="J21" s="135"/>
      <c r="K21" s="137"/>
      <c r="L21" s="136"/>
      <c r="M21" s="135"/>
    </row>
    <row r="22" spans="1:13" ht="16">
      <c r="C22" s="94"/>
      <c r="D22" s="95"/>
      <c r="E22" s="106"/>
      <c r="F22" s="106"/>
      <c r="G22" s="106"/>
      <c r="H22" s="107"/>
      <c r="I22" s="120"/>
      <c r="J22" s="121"/>
      <c r="K22" s="138"/>
      <c r="L22" s="120"/>
      <c r="M22" s="121"/>
    </row>
    <row r="23" spans="1:13" ht="16">
      <c r="A23" s="71">
        <v>0</v>
      </c>
      <c r="C23" s="108" t="s">
        <v>101</v>
      </c>
      <c r="D23" s="109"/>
      <c r="E23" s="110">
        <f>QUARTILE(E$13:E$21,$A23)</f>
        <v>1003.7</v>
      </c>
      <c r="F23" s="110">
        <f t="shared" ref="F23:M28" si="0">QUARTILE(F$13:F$21,$A23)</f>
        <v>2191.3000000000002</v>
      </c>
      <c r="G23" s="207">
        <f t="shared" si="0"/>
        <v>0</v>
      </c>
      <c r="H23" s="139">
        <f t="shared" si="0"/>
        <v>12.51</v>
      </c>
      <c r="I23" s="141">
        <f t="shared" si="0"/>
        <v>8.0399999999999991</v>
      </c>
      <c r="J23" s="140">
        <f t="shared" si="0"/>
        <v>10.64</v>
      </c>
      <c r="K23" s="142">
        <f t="shared" si="0"/>
        <v>0.17</v>
      </c>
      <c r="L23" s="141">
        <f t="shared" si="0"/>
        <v>22.3</v>
      </c>
      <c r="M23" s="140">
        <f t="shared" si="0"/>
        <v>2.6</v>
      </c>
    </row>
    <row r="24" spans="1:13" ht="16">
      <c r="A24" s="71">
        <v>1</v>
      </c>
      <c r="C24" s="108" t="s">
        <v>100</v>
      </c>
      <c r="D24" s="109"/>
      <c r="E24" s="110">
        <f>QUARTILE(E$13:E$21,$A24)</f>
        <v>4688.9500000000007</v>
      </c>
      <c r="F24" s="110">
        <f t="shared" si="0"/>
        <v>5597.85</v>
      </c>
      <c r="G24" s="207">
        <f t="shared" si="0"/>
        <v>1.55E-2</v>
      </c>
      <c r="H24" s="139">
        <f t="shared" si="0"/>
        <v>12.8</v>
      </c>
      <c r="I24" s="141">
        <f t="shared" si="0"/>
        <v>11.094999999999999</v>
      </c>
      <c r="J24" s="140">
        <f t="shared" si="0"/>
        <v>22.32</v>
      </c>
      <c r="K24" s="142">
        <f t="shared" si="0"/>
        <v>0.28000000000000003</v>
      </c>
      <c r="L24" s="141">
        <f t="shared" si="0"/>
        <v>22.677499999999998</v>
      </c>
      <c r="M24" s="140">
        <f t="shared" si="0"/>
        <v>5.5500000000000007</v>
      </c>
    </row>
    <row r="25" spans="1:13" ht="16">
      <c r="C25" s="108" t="s">
        <v>98</v>
      </c>
      <c r="D25" s="109"/>
      <c r="E25" s="110">
        <f>AVERAGE(E13:E21)</f>
        <v>28227.641428571427</v>
      </c>
      <c r="F25" s="110">
        <f t="shared" ref="F25:M25" si="1">AVERAGE(F13:F21)</f>
        <v>28659.142857142859</v>
      </c>
      <c r="G25" s="207">
        <f t="shared" si="1"/>
        <v>0.23823985714285714</v>
      </c>
      <c r="H25" s="139">
        <f t="shared" si="1"/>
        <v>19.451428571428572</v>
      </c>
      <c r="I25" s="141">
        <f t="shared" si="1"/>
        <v>16.174285714285713</v>
      </c>
      <c r="J25" s="140">
        <f t="shared" si="1"/>
        <v>134.77714285714288</v>
      </c>
      <c r="K25" s="142">
        <f t="shared" si="1"/>
        <v>1.2242857142857144</v>
      </c>
      <c r="L25" s="141">
        <f t="shared" si="1"/>
        <v>47.096666666666664</v>
      </c>
      <c r="M25" s="140">
        <f t="shared" si="1"/>
        <v>10.87142857142857</v>
      </c>
    </row>
    <row r="26" spans="1:13" ht="16">
      <c r="A26" s="71">
        <v>2</v>
      </c>
      <c r="C26" s="108" t="s">
        <v>99</v>
      </c>
      <c r="D26" s="109"/>
      <c r="E26" s="110">
        <f>QUARTILE(E$13:E$21,$A26)</f>
        <v>16944.099999999999</v>
      </c>
      <c r="F26" s="110">
        <f t="shared" si="0"/>
        <v>16242.1</v>
      </c>
      <c r="G26" s="207">
        <f t="shared" si="0"/>
        <v>4.3299999999999998E-2</v>
      </c>
      <c r="H26" s="139">
        <f t="shared" si="0"/>
        <v>13.66</v>
      </c>
      <c r="I26" s="141">
        <f t="shared" si="0"/>
        <v>11.78</v>
      </c>
      <c r="J26" s="140">
        <f t="shared" si="0"/>
        <v>35.86</v>
      </c>
      <c r="K26" s="142">
        <f t="shared" si="0"/>
        <v>0.52</v>
      </c>
      <c r="L26" s="141">
        <f t="shared" si="0"/>
        <v>27.925000000000004</v>
      </c>
      <c r="M26" s="140">
        <f t="shared" si="0"/>
        <v>6.4</v>
      </c>
    </row>
    <row r="27" spans="1:13" ht="16">
      <c r="A27" s="71">
        <v>3</v>
      </c>
      <c r="C27" s="108" t="s">
        <v>97</v>
      </c>
      <c r="D27" s="109"/>
      <c r="E27" s="110">
        <f>QUARTILE(E$13:E$21,$A27)</f>
        <v>32281.35</v>
      </c>
      <c r="F27" s="110">
        <f t="shared" si="0"/>
        <v>39744.550000000003</v>
      </c>
      <c r="G27" s="207">
        <f t="shared" si="0"/>
        <v>7.0689500000000002E-2</v>
      </c>
      <c r="H27" s="139">
        <f t="shared" si="0"/>
        <v>21.814999999999998</v>
      </c>
      <c r="I27" s="141">
        <f t="shared" si="0"/>
        <v>19.905000000000001</v>
      </c>
      <c r="J27" s="140">
        <f t="shared" si="0"/>
        <v>40.974999999999994</v>
      </c>
      <c r="K27" s="142">
        <f t="shared" si="0"/>
        <v>0.76500000000000001</v>
      </c>
      <c r="L27" s="141">
        <f t="shared" si="0"/>
        <v>76.177500000000009</v>
      </c>
      <c r="M27" s="140">
        <f t="shared" si="0"/>
        <v>8.0500000000000007</v>
      </c>
    </row>
    <row r="28" spans="1:13" ht="16">
      <c r="A28" s="71">
        <v>4</v>
      </c>
      <c r="C28" s="111" t="s">
        <v>96</v>
      </c>
      <c r="D28" s="112"/>
      <c r="E28" s="113">
        <f>QUARTILE(E$13:E$21,$A28)</f>
        <v>105705.09</v>
      </c>
      <c r="F28" s="113">
        <f t="shared" si="0"/>
        <v>91495.8</v>
      </c>
      <c r="G28" s="208">
        <f t="shared" si="0"/>
        <v>1.452</v>
      </c>
      <c r="H28" s="143">
        <f t="shared" si="0"/>
        <v>40.76</v>
      </c>
      <c r="I28" s="145">
        <f t="shared" si="0"/>
        <v>31.4</v>
      </c>
      <c r="J28" s="144">
        <f t="shared" si="0"/>
        <v>770.35</v>
      </c>
      <c r="K28" s="146">
        <f t="shared" si="0"/>
        <v>5.79</v>
      </c>
      <c r="L28" s="145">
        <f t="shared" si="0"/>
        <v>91.24</v>
      </c>
      <c r="M28" s="144">
        <f t="shared" si="0"/>
        <v>39.9</v>
      </c>
    </row>
    <row r="31" spans="1:13">
      <c r="C31" s="233" t="s">
        <v>152</v>
      </c>
      <c r="D31" s="235" t="s">
        <v>161</v>
      </c>
      <c r="E31" s="235" t="s">
        <v>155</v>
      </c>
      <c r="F31" s="235" t="s">
        <v>153</v>
      </c>
      <c r="G31" s="235" t="s">
        <v>109</v>
      </c>
      <c r="H31" s="235" t="s">
        <v>95</v>
      </c>
      <c r="I31" s="235" t="s">
        <v>5</v>
      </c>
      <c r="J31" s="235" t="s">
        <v>159</v>
      </c>
    </row>
    <row r="32" spans="1:13">
      <c r="C32" s="234"/>
      <c r="D32" s="235" t="s">
        <v>34</v>
      </c>
      <c r="E32" s="235" t="s">
        <v>154</v>
      </c>
      <c r="F32" s="235" t="s">
        <v>2</v>
      </c>
      <c r="G32" s="235" t="s">
        <v>156</v>
      </c>
      <c r="H32" s="235" t="s">
        <v>91</v>
      </c>
      <c r="I32" s="235" t="s">
        <v>158</v>
      </c>
      <c r="J32" s="235" t="s">
        <v>160</v>
      </c>
    </row>
    <row r="33" spans="3:10">
      <c r="D33" s="336">
        <f ca="1">+'Income Statement'!$J$44</f>
        <v>395.23400000000021</v>
      </c>
      <c r="E33" s="335">
        <v>4.5</v>
      </c>
      <c r="F33" s="236">
        <f ca="1">+D33*E33</f>
        <v>1778.553000000001</v>
      </c>
      <c r="G33" s="338">
        <f>+'Balance Sheet'!$H$34+'Balance Sheet'!$H$38-'Balance Sheet'!$H$11</f>
        <v>399.39999999999986</v>
      </c>
      <c r="H33" s="236">
        <f ca="1">+F33-G33</f>
        <v>1379.1530000000012</v>
      </c>
      <c r="I33" s="339">
        <f>+'Income Statement'!$I$34</f>
        <v>447</v>
      </c>
      <c r="J33" s="236">
        <f ca="1">+H33/I33</f>
        <v>3.0853534675615237</v>
      </c>
    </row>
    <row r="34" spans="3:10">
      <c r="D34" s="336">
        <f ca="1">+'Income Statement'!$J$44</f>
        <v>395.23400000000021</v>
      </c>
      <c r="E34" s="335">
        <v>5</v>
      </c>
      <c r="F34" s="237">
        <f ca="1">+D34*E34</f>
        <v>1976.170000000001</v>
      </c>
      <c r="G34" s="337">
        <f>+'Balance Sheet'!$H$34+'Balance Sheet'!$H$38-'Balance Sheet'!$H$11</f>
        <v>399.39999999999986</v>
      </c>
      <c r="H34" s="237">
        <f ca="1">+F34-G34</f>
        <v>1576.7700000000011</v>
      </c>
      <c r="I34" s="337">
        <f>+'Income Statement'!$I$34</f>
        <v>447</v>
      </c>
      <c r="J34" s="237">
        <f ca="1">+H34/I34</f>
        <v>3.5274496644295326</v>
      </c>
    </row>
    <row r="36" spans="3:10">
      <c r="C36" s="233" t="s">
        <v>166</v>
      </c>
      <c r="D36" s="235" t="s">
        <v>161</v>
      </c>
      <c r="E36" s="235" t="s">
        <v>155</v>
      </c>
      <c r="F36" s="235" t="s">
        <v>153</v>
      </c>
      <c r="G36" s="235" t="s">
        <v>109</v>
      </c>
      <c r="H36" s="235" t="s">
        <v>95</v>
      </c>
      <c r="I36" s="235" t="s">
        <v>5</v>
      </c>
      <c r="J36" s="235" t="s">
        <v>157</v>
      </c>
    </row>
    <row r="37" spans="3:10">
      <c r="C37" s="234"/>
      <c r="D37" s="235" t="s">
        <v>113</v>
      </c>
      <c r="E37" s="235" t="s">
        <v>154</v>
      </c>
      <c r="F37" s="235" t="s">
        <v>2</v>
      </c>
      <c r="G37" s="235" t="s">
        <v>156</v>
      </c>
      <c r="H37" s="235" t="s">
        <v>91</v>
      </c>
      <c r="I37" s="235" t="s">
        <v>158</v>
      </c>
      <c r="J37" s="235"/>
    </row>
    <row r="38" spans="3:10">
      <c r="D38" s="336">
        <f ca="1">+'Income Statement'!$J$31</f>
        <v>347.5472000000002</v>
      </c>
      <c r="E38" s="335">
        <v>10</v>
      </c>
      <c r="F38" s="238"/>
      <c r="G38" s="238"/>
      <c r="H38" s="236">
        <f ca="1">+E38*D38</f>
        <v>3475.472000000002</v>
      </c>
      <c r="I38" s="337">
        <f>+'Income Statement'!$I$34</f>
        <v>447</v>
      </c>
      <c r="J38" s="236">
        <f ca="1">+H38/I38</f>
        <v>7.7751051454138747</v>
      </c>
    </row>
    <row r="39" spans="3:10">
      <c r="D39" s="336">
        <f ca="1">+'Income Statement'!$J$31</f>
        <v>347.5472000000002</v>
      </c>
      <c r="E39" s="335">
        <v>11</v>
      </c>
      <c r="F39" s="239"/>
      <c r="G39" s="239"/>
      <c r="H39" s="237">
        <f ca="1">+E39*D39</f>
        <v>3823.0192000000025</v>
      </c>
      <c r="I39" s="337">
        <f>+'Income Statement'!$I$34</f>
        <v>447</v>
      </c>
      <c r="J39" s="237">
        <f ca="1">+H39/I39</f>
        <v>8.5526156599552632</v>
      </c>
    </row>
  </sheetData>
  <pageMargins left="0.7" right="0.7" top="0.75" bottom="0.75" header="0.3" footer="0.3"/>
  <pageSetup scale="6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7095-6C39-4AC2-B612-3EF8201BDC4F}">
  <sheetPr>
    <pageSetUpPr fitToPage="1"/>
  </sheetPr>
  <dimension ref="C1:I24"/>
  <sheetViews>
    <sheetView showGridLines="0" view="pageBreakPreview" zoomScale="125" zoomScaleNormal="54" zoomScaleSheetLayoutView="65" workbookViewId="0">
      <selection activeCell="I32" sqref="I32"/>
    </sheetView>
  </sheetViews>
  <sheetFormatPr baseColWidth="10" defaultColWidth="8.796875" defaultRowHeight="14"/>
  <cols>
    <col min="1" max="2" width="1.59765625" style="355" customWidth="1"/>
    <col min="3" max="3" width="28.59765625" style="355" customWidth="1"/>
    <col min="4" max="4" width="14.3984375" style="355" bestFit="1" customWidth="1"/>
    <col min="5" max="5" width="4.59765625" style="355" customWidth="1"/>
    <col min="6" max="9" width="8.796875" style="355"/>
    <col min="10" max="10" width="19.3984375" style="355" customWidth="1"/>
    <col min="11" max="16384" width="8.796875" style="355"/>
  </cols>
  <sheetData>
    <row r="1" spans="3:9" ht="8" customHeight="1"/>
    <row r="2" spans="3:9" ht="8" customHeight="1"/>
    <row r="3" spans="3:9" ht="19">
      <c r="C3" s="356" t="str">
        <f>'Income Statement'!D3</f>
        <v>GAMESTOP  (NYSE: GME)</v>
      </c>
    </row>
    <row r="4" spans="3:9" ht="16">
      <c r="C4" s="357" t="s">
        <v>177</v>
      </c>
    </row>
    <row r="6" spans="3:9" ht="17">
      <c r="C6" s="358" t="s">
        <v>178</v>
      </c>
      <c r="D6" s="359"/>
      <c r="F6" s="358" t="s">
        <v>179</v>
      </c>
      <c r="G6" s="360"/>
      <c r="H6" s="360"/>
      <c r="I6" s="360"/>
    </row>
    <row r="7" spans="3:9">
      <c r="C7" s="355" t="s">
        <v>180</v>
      </c>
      <c r="D7" s="361">
        <v>2025</v>
      </c>
    </row>
    <row r="8" spans="3:9">
      <c r="C8" s="355" t="s">
        <v>197</v>
      </c>
      <c r="D8" s="362">
        <v>4.5999999999999996</v>
      </c>
      <c r="E8" s="362"/>
      <c r="F8" s="355" t="s">
        <v>206</v>
      </c>
    </row>
    <row r="9" spans="3:9">
      <c r="C9" s="355" t="s">
        <v>198</v>
      </c>
      <c r="D9" s="362">
        <v>8.1</v>
      </c>
      <c r="E9" s="362"/>
      <c r="F9" s="355" t="s">
        <v>206</v>
      </c>
    </row>
    <row r="10" spans="3:9">
      <c r="C10" s="355" t="s">
        <v>181</v>
      </c>
      <c r="D10" s="363">
        <f ca="1">'Income Statement'!L44</f>
        <v>500.38464960000022</v>
      </c>
      <c r="E10" s="364"/>
      <c r="F10" s="355" t="s">
        <v>182</v>
      </c>
    </row>
    <row r="11" spans="3:9">
      <c r="C11" s="355" t="s">
        <v>183</v>
      </c>
      <c r="D11" s="365">
        <f ca="1">'Income Statement'!L36</f>
        <v>0.95965116950335616</v>
      </c>
      <c r="E11" s="366"/>
      <c r="F11" s="355" t="s">
        <v>182</v>
      </c>
    </row>
    <row r="12" spans="3:9">
      <c r="C12" s="355" t="s">
        <v>22</v>
      </c>
      <c r="D12" s="363">
        <f>'Income Statement'!I74</f>
        <v>904</v>
      </c>
      <c r="E12" s="367"/>
      <c r="F12" s="355" t="s">
        <v>184</v>
      </c>
    </row>
    <row r="13" spans="3:9">
      <c r="C13" s="355" t="s">
        <v>185</v>
      </c>
      <c r="D13" s="368">
        <f>'Income Statement'!I34</f>
        <v>447</v>
      </c>
      <c r="E13" s="369"/>
      <c r="F13" s="355" t="s">
        <v>182</v>
      </c>
    </row>
    <row r="15" spans="3:9">
      <c r="C15" s="370" t="s">
        <v>186</v>
      </c>
      <c r="D15" s="371"/>
    </row>
    <row r="16" spans="3:9">
      <c r="C16" s="355" t="s">
        <v>199</v>
      </c>
      <c r="D16" s="364">
        <f ca="1">D10*D8</f>
        <v>2301.7693881600007</v>
      </c>
      <c r="E16" s="364"/>
    </row>
    <row r="17" spans="3:6">
      <c r="C17" s="355" t="s">
        <v>204</v>
      </c>
      <c r="D17" s="364">
        <f ca="1">D16-D12</f>
        <v>1397.7693881600007</v>
      </c>
      <c r="E17" s="364"/>
      <c r="F17" s="372" t="s">
        <v>187</v>
      </c>
    </row>
    <row r="18" spans="3:6">
      <c r="C18" s="355" t="s">
        <v>205</v>
      </c>
      <c r="D18" s="366">
        <f ca="1">D17/D13</f>
        <v>3.127000868366892</v>
      </c>
      <c r="E18" s="366"/>
      <c r="F18" s="372" t="s">
        <v>188</v>
      </c>
    </row>
    <row r="20" spans="3:6">
      <c r="C20" s="370" t="s">
        <v>189</v>
      </c>
      <c r="D20" s="371"/>
    </row>
    <row r="21" spans="3:6">
      <c r="C21" s="355" t="s">
        <v>205</v>
      </c>
      <c r="D21" s="366">
        <f ca="1">D11*D9</f>
        <v>7.7731744729771846</v>
      </c>
      <c r="E21" s="366"/>
      <c r="F21" s="372" t="s">
        <v>190</v>
      </c>
    </row>
    <row r="23" spans="3:6" ht="15" thickBot="1">
      <c r="C23" s="373" t="s">
        <v>191</v>
      </c>
      <c r="D23" s="374">
        <f ca="1">AVERAGE(D21,D18)</f>
        <v>5.4500876706720387</v>
      </c>
    </row>
    <row r="24" spans="3:6" ht="15" thickTop="1"/>
  </sheetData>
  <pageMargins left="0.7" right="0.7" top="0.75" bottom="0.75" header="0.3" footer="0.3"/>
  <pageSetup scale="9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1994e9-24b3-43fe-b7d5-97e55e521b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7CCE756BB84A4489BB31422124D8C4" ma:contentTypeVersion="15" ma:contentTypeDescription="Create a new document." ma:contentTypeScope="" ma:versionID="f819188ec664ba88fdb3414960befcda">
  <xsd:schema xmlns:xsd="http://www.w3.org/2001/XMLSchema" xmlns:xs="http://www.w3.org/2001/XMLSchema" xmlns:p="http://schemas.microsoft.com/office/2006/metadata/properties" xmlns:ns3="6b1994e9-24b3-43fe-b7d5-97e55e521b50" xmlns:ns4="367fc156-2e23-4d2a-8917-fcdfd7ab199a" targetNamespace="http://schemas.microsoft.com/office/2006/metadata/properties" ma:root="true" ma:fieldsID="ddef346a47d466131c93b7c5582fc0ed" ns3:_="" ns4:_="">
    <xsd:import namespace="6b1994e9-24b3-43fe-b7d5-97e55e521b50"/>
    <xsd:import namespace="367fc156-2e23-4d2a-8917-fcdfd7ab19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994e9-24b3-43fe-b7d5-97e55e521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fc156-2e23-4d2a-8917-fcdfd7ab19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A61E6F-1560-40CB-8D65-ACCE5A660B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F71D4D-3F9F-4D86-B958-34B4F4F6360F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6b1994e9-24b3-43fe-b7d5-97e55e521b50"/>
    <ds:schemaRef ds:uri="http://purl.org/dc/elements/1.1/"/>
    <ds:schemaRef ds:uri="http://schemas.microsoft.com/office/infopath/2007/PartnerControls"/>
    <ds:schemaRef ds:uri="367fc156-2e23-4d2a-8917-fcdfd7ab199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552E2D9-FA13-4055-88A4-6A9C039918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994e9-24b3-43fe-b7d5-97e55e521b50"/>
    <ds:schemaRef ds:uri="367fc156-2e23-4d2a-8917-fcdfd7ab19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Income Statement</vt:lpstr>
      <vt:lpstr>Football Field</vt:lpstr>
      <vt:lpstr>Revenue Build</vt:lpstr>
      <vt:lpstr>Cash Flow Statement</vt:lpstr>
      <vt:lpstr>Balance Sheet</vt:lpstr>
      <vt:lpstr>Comps Financials</vt:lpstr>
      <vt:lpstr> Comps Valuation</vt:lpstr>
      <vt:lpstr>3-Year Price Target Calculation</vt:lpstr>
      <vt:lpstr>' Comps Valuation'!Print_Area</vt:lpstr>
      <vt:lpstr>'3-Year Price Target Calculation'!Print_Area</vt:lpstr>
      <vt:lpstr>'Balance Sheet'!Print_Area</vt:lpstr>
      <vt:lpstr>'Cash Flow Statement'!Print_Area</vt:lpstr>
      <vt:lpstr>'Comps Financials'!Print_Area</vt:lpstr>
      <vt:lpstr>'Football Field'!Print_Area</vt:lpstr>
      <vt:lpstr>'Income Statement'!Print_Area</vt:lpstr>
      <vt:lpstr>'Revenue Build'!Print_Area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Preston</dc:creator>
  <cp:lastModifiedBy>Alshaibani, Ajwan</cp:lastModifiedBy>
  <dcterms:created xsi:type="dcterms:W3CDTF">2024-07-29T17:17:30Z</dcterms:created>
  <dcterms:modified xsi:type="dcterms:W3CDTF">2026-04-27T18:17:38Z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0x010100377CCE756BB84A4489BB31422124D8C4</vt:lpwstr>
  </property>
</Properties>
</file>